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Cover" sheetId="1" r:id="rId3"/>
    <sheet state="visible" name="System test case" sheetId="2" r:id="rId4"/>
    <sheet state="visible" name="Sheet1" sheetId="3" r:id="rId5"/>
  </sheets>
  <definedNames/>
  <calcPr/>
</workbook>
</file>

<file path=xl/sharedStrings.xml><?xml version="1.0" encoding="utf-8"?>
<sst xmlns="http://schemas.openxmlformats.org/spreadsheetml/2006/main" count="2658" uniqueCount="1510">
  <si>
    <t>MINORI TECHNOLOGY</t>
  </si>
  <si>
    <t>TEST CASE</t>
  </si>
  <si>
    <t xml:space="preserve">Function/ Module/ Pharse </t>
  </si>
  <si>
    <t>System test</t>
  </si>
  <si>
    <t>Test case ID</t>
  </si>
  <si>
    <t>ST</t>
  </si>
  <si>
    <t>HRM System</t>
  </si>
  <si>
    <t>Number of pass cases</t>
  </si>
  <si>
    <t>SYSTEM TEST CASE</t>
  </si>
  <si>
    <t>Number of fail cases</t>
  </si>
  <si>
    <t>Number of pending cases</t>
  </si>
  <si>
    <t>Number of cases not yet implemented</t>
  </si>
  <si>
    <t>Total</t>
  </si>
  <si>
    <t>Test Case Id</t>
  </si>
  <si>
    <t>Enviroment</t>
  </si>
  <si>
    <t>User Role</t>
  </si>
  <si>
    <t>Function</t>
  </si>
  <si>
    <t>Pre- condition</t>
  </si>
  <si>
    <t xml:space="preserve">Purpose </t>
  </si>
  <si>
    <t>Test Steps</t>
  </si>
  <si>
    <t>Expected Result</t>
  </si>
  <si>
    <t>Final result</t>
  </si>
  <si>
    <t>BugID</t>
  </si>
  <si>
    <t>Note</t>
  </si>
  <si>
    <t>DocumentID</t>
  </si>
  <si>
    <t>:</t>
  </si>
  <si>
    <t>HRM_system_testcase</t>
  </si>
  <si>
    <t>Version</t>
  </si>
  <si>
    <t>v1.0</t>
  </si>
  <si>
    <t>Author</t>
  </si>
  <si>
    <t>Vyltm</t>
  </si>
  <si>
    <t>01/07/2012</t>
  </si>
  <si>
    <t>1. Recruitment</t>
  </si>
  <si>
    <t>Approver</t>
  </si>
  <si>
    <t>Recruitment plan</t>
  </si>
  <si>
    <t>Web</t>
  </si>
  <si>
    <t>DOCUMENT CHANGE LOG</t>
  </si>
  <si>
    <t>HR</t>
  </si>
  <si>
    <t>Create a recruitment plan</t>
  </si>
  <si>
    <t>Login on web with HR role</t>
  </si>
  <si>
    <t>Revision</t>
  </si>
  <si>
    <t>Verify that the user can create the recruitment plan successfully</t>
  </si>
  <si>
    <t>Description</t>
  </si>
  <si>
    <t xml:space="preserve">Author </t>
  </si>
  <si>
    <t>Date</t>
  </si>
  <si>
    <t>Approved</t>
  </si>
  <si>
    <r>
      <rPr/>
      <t xml:space="preserve">1. Go to "Recruitment"
2. Click Create
3. Input information 
</t>
    </r>
    <r>
      <rPr>
        <rFont val="Arial"/>
        <i/>
        <color rgb="FF1E4E79"/>
        <sz val="10.0"/>
      </rPr>
      <t>Job tilte *: Driver staff
Type: Full-time
Location *: Da Nang
Number of Position *: 10
Department: Sale
Expiration date: 31/12/2017
Approver: Manager 1
Hiring manager: John
Description: 
- Require
- Benefit</t>
    </r>
    <r>
      <rPr>
        <rFont val="Arial"/>
        <sz val="10.0"/>
      </rPr>
      <t xml:space="preserve">
4. Click Save</t>
    </r>
  </si>
  <si>
    <t>0.0.1</t>
  </si>
  <si>
    <r>
      <rPr/>
      <t xml:space="preserve">A recruitment plan is created in </t>
    </r>
    <r>
      <rPr>
        <rFont val="Arial"/>
        <b/>
        <sz val="10.0"/>
      </rPr>
      <t>Draft</t>
    </r>
    <r>
      <rPr>
        <rFont val="Arial"/>
        <sz val="10.0"/>
      </rPr>
      <t xml:space="preserve"> status and it displays in recruitment plan list of </t>
    </r>
    <r>
      <rPr>
        <rFont val="Arial"/>
        <b/>
        <sz val="10.0"/>
      </rPr>
      <t>HR role</t>
    </r>
    <r>
      <rPr>
        <rFont val="Arial"/>
        <sz val="10.0"/>
      </rPr>
      <t xml:space="preserve">
Display information of each field match with the information entered. Detail:
</t>
    </r>
    <r>
      <rPr>
        <rFont val="Arial"/>
        <i/>
        <color rgb="FF1E4E79"/>
        <sz val="10.0"/>
      </rPr>
      <t>Job tilte: Driver staff
Type:  Full-time
Department: Sale
Location: Da Nang
Created Date: Current date
Approved date: 
Status: Draft</t>
    </r>
    <r>
      <rPr>
        <rFont val="Arial"/>
        <sz val="10.0"/>
      </rPr>
      <t xml:space="preserve">
Plan list has one record
The action: edit, delete, send is enable
</t>
    </r>
  </si>
  <si>
    <t>Initial</t>
  </si>
  <si>
    <t>VyLTM</t>
  </si>
  <si>
    <t>View the recruitment plan list</t>
  </si>
  <si>
    <t>Verify that user can view recruitment plan list</t>
  </si>
  <si>
    <t>1. Go to "Recruitment"
2. Click "Recruitment list"</t>
  </si>
  <si>
    <t>28/11/2017</t>
  </si>
  <si>
    <r>
      <rPr/>
      <t xml:space="preserve">2. The application displays Recruitment list has one record is created at ST_1
</t>
    </r>
    <r>
      <rPr>
        <rFont val="Arial"/>
        <i/>
        <color rgb="FF2F5496"/>
        <sz val="10.0"/>
      </rPr>
      <t>Job tilte: Driver staff
Type:  Full-time
Department: Sale
Location: Da Nang
Created Date: Current date
Approved date: 
Status: Draft</t>
    </r>
  </si>
  <si>
    <t>View recruitment plan detail</t>
  </si>
  <si>
    <t>Verify that the user can view detail of the recruitment plan</t>
  </si>
  <si>
    <t xml:space="preserve">1. Go to "Recruitment"
2. Click "Recruitment list"
3. Click view detail icon at first record </t>
  </si>
  <si>
    <t>KhangTM</t>
  </si>
  <si>
    <r>
      <rPr/>
      <t xml:space="preserve">3. The application displays info detail
</t>
    </r>
    <r>
      <rPr>
        <rFont val="Arial"/>
        <i/>
        <color rgb="FF1E4E79"/>
        <sz val="10.0"/>
      </rPr>
      <t>Job tilte *: Driver staff
Type: Full-time
Location *: Da Nang
Number of Position *: 10
Department: Sale
Expiration date: 31/12/2017
Approver: Manager 1
Hiring manager: John
Description: 
- Require
- Benefit</t>
    </r>
  </si>
  <si>
    <t>Search recruitment plan detail</t>
  </si>
  <si>
    <t>Verify that the user can Search the recruitment plan</t>
  </si>
  <si>
    <t>1. Go to ""Recruitment""
2. Click ""Recruitment list""
3. Input key work in the Search box
4. Click on Search</t>
  </si>
  <si>
    <t>- If the key work matches with data, it will display the list of Recruitment , If no data matching, it will display empty list</t>
  </si>
  <si>
    <t xml:space="preserve">HR </t>
  </si>
  <si>
    <t>Edit recruitment</t>
  </si>
  <si>
    <t xml:space="preserve">Verify that the user can edit the recruitment plan </t>
  </si>
  <si>
    <r>
      <rPr/>
      <t xml:space="preserve">1. Go to "Recruitment"
2. Click "Recruitment list"
3. Click Edit icon at first record 
4. Change info
</t>
    </r>
    <r>
      <rPr>
        <rFont val="Arial"/>
        <i/>
        <color rgb="FF1E4E79"/>
        <sz val="10.0"/>
      </rPr>
      <t>Job tilte *: truck driver
Type: Full-time
Location *: Da Nang
Number of Position *: 5
Department: Delivery room
Expiration date: 31/12/2017
Approver: Manager 1
Hiring manager: Michace
Description: 
- Require
- Benefit
- Contact info</t>
    </r>
    <r>
      <rPr>
        <rFont val="Arial"/>
        <sz val="10.0"/>
      </rPr>
      <t xml:space="preserve">
5. Click Save</t>
    </r>
  </si>
  <si>
    <r>
      <t xml:space="preserve">2. The application displays Recruitment list has one record is created at ST_1
3. The application displays edit screen with info of ST_1
</t>
    </r>
    <r>
      <rPr>
        <i/>
        <color rgb="FF1E4E79"/>
        <sz val="10.0"/>
      </rPr>
      <t>Job tilte *: Driver staff
Type: Full-time
Location *: Da Nang
Number of Position *: 10
Department: Sale
Expiration date: 31/12/2017
Approver: Manager 1
Hiring manager: John
Description: 
- Require
- Benefit</t>
    </r>
    <r>
      <rPr>
        <i/>
        <sz val="10.0"/>
      </rPr>
      <t xml:space="preserve">
</t>
    </r>
    <r>
      <rPr>
        <sz val="10.0"/>
      </rPr>
      <t xml:space="preserve">5. The application displays recruitment plan that has just been updated. Detail:
</t>
    </r>
    <r>
      <rPr>
        <i/>
        <color rgb="FF1E4E79"/>
        <sz val="10.0"/>
      </rPr>
      <t>Job tilte: truck driver
Type:  Full-time
Department: Delivery room
Location: Da Nang
Created Date: Current date
Approved date: 
Status: Draft</t>
    </r>
  </si>
  <si>
    <t>View detail of a recruitment plan</t>
  </si>
  <si>
    <t xml:space="preserve">1. Go to "Recruitment"
2. Click "Recruitment list"
3. Click view detail icon at first record </t>
  </si>
  <si>
    <r>
      <rPr/>
      <t xml:space="preserve">2. The application displays Recruitment list has one record is updated at ST_3
3. The application displays info detail of ST_3
</t>
    </r>
    <r>
      <rPr>
        <rFont val="Arial"/>
        <i/>
        <color rgb="FF1E4E79"/>
        <sz val="10.0"/>
      </rPr>
      <t>Job tilte : truck driver</t>
    </r>
    <r>
      <rPr>
        <rFont val="Arial"/>
        <i/>
        <sz val="10.0"/>
      </rPr>
      <t xml:space="preserve">
</t>
    </r>
    <r>
      <rPr>
        <rFont val="Arial"/>
        <i/>
        <color rgb="FF1E4E79"/>
        <sz val="10.0"/>
      </rPr>
      <t>Type: Full-time
Location : Da Nang
Number of Position : 5
Department: Delivery room
Expiration date: 31/12/2017
Approver: Manager 1
Hiring manager: Michace
Description: 
- Require
- Benefit
- Contact info</t>
    </r>
  </si>
  <si>
    <t>Delete a recruitment plan</t>
  </si>
  <si>
    <t>Verify that the user can delete the recruitment plan</t>
  </si>
  <si>
    <t>1. Go to "Recruitment"
2. Click "Recruitment list"
3. Click Delete detail icon at first record 
4.1 Click No</t>
  </si>
  <si>
    <t xml:space="preserve">2. The application displays Recruitment list has one record was updated at ST_3
3. The application shows confirmation popup
4.1 Close confirmation popup, this record isn't deleted
</t>
  </si>
  <si>
    <t>4.2 Click Yes</t>
  </si>
  <si>
    <t>4.2 Close confirmation popup, this record isn't deleted and disappears from the list.
Recruitment list be empty</t>
  </si>
  <si>
    <t>Create and send recruitment plan at creation time</t>
  </si>
  <si>
    <t>Verify that the user can create and send recruitment plan to Manager  at create screen</t>
  </si>
  <si>
    <r>
      <t xml:space="preserve">1. Go to "Recruitment"
2. Click "Create"
3. Input information 
</t>
    </r>
    <r>
      <rPr>
        <i/>
        <color rgb="FF1E4E79"/>
        <sz val="10.0"/>
      </rPr>
      <t>Job tilte *: Marketing staff
Type: Full-time
Location *: Da Nang
Number of Position *: 10
Department: Sale
Expiration date: 31/12/2017
Approver: Manager 1
Hiring manager: Michace
Description: 
- Require
- Benefit</t>
    </r>
    <r>
      <rPr>
        <sz val="10.0"/>
      </rPr>
      <t xml:space="preserve">
4. Click "Save and Send" button</t>
    </r>
  </si>
  <si>
    <r>
      <rPr/>
      <t xml:space="preserve">4. A recruitment plan is created in </t>
    </r>
    <r>
      <rPr>
        <rFont val="Arial"/>
        <b/>
        <sz val="10.0"/>
      </rPr>
      <t>Pending approval</t>
    </r>
    <r>
      <rPr>
        <rFont val="Arial"/>
        <sz val="10.0"/>
      </rPr>
      <t xml:space="preserve"> status and it displays in recruitment plan list of </t>
    </r>
    <r>
      <rPr>
        <rFont val="Arial"/>
        <b/>
        <sz val="10.0"/>
      </rPr>
      <t>HR and Manager Role</t>
    </r>
    <r>
      <rPr>
        <rFont val="Arial"/>
        <sz val="10.0"/>
      </rPr>
      <t xml:space="preserve">
Display information of each field match with the information entered. Detail:
</t>
    </r>
    <r>
      <rPr>
        <rFont val="Arial"/>
        <i/>
        <color rgb="FF1E4E79"/>
        <sz val="10.0"/>
      </rPr>
      <t>Job tilte:  Marketing staff
Type:  Full-time
Department: Sale
Location: Da Nang
Created Date: Current date
Approved date: 
Status: Pending approval</t>
    </r>
    <r>
      <rPr>
        <rFont val="Arial"/>
        <i/>
        <sz val="10.0"/>
      </rPr>
      <t xml:space="preserve">
</t>
    </r>
    <r>
      <rPr>
        <rFont val="Arial"/>
        <sz val="10.0"/>
      </rPr>
      <t>Order by CreatedDate desc</t>
    </r>
    <r>
      <rPr>
        <rFont val="Arial"/>
        <i/>
        <sz val="10.0"/>
      </rPr>
      <t xml:space="preserve">
</t>
    </r>
    <r>
      <rPr>
        <rFont val="Arial"/>
        <sz val="10.0"/>
      </rPr>
      <t>Plan list has one record
At the same time delete, edit action is disabled</t>
    </r>
  </si>
  <si>
    <t>Send recruitment plan from plan list</t>
  </si>
  <si>
    <t>Verify that the user can send recruitment plan in Draft status</t>
  </si>
  <si>
    <r>
      <t xml:space="preserve">1. Go to "Recruitment"
2. Click "Create"
3. Input information 
</t>
    </r>
    <r>
      <rPr>
        <i/>
        <color rgb="FF2F5496"/>
        <sz val="10.0"/>
      </rPr>
      <t>Job tilte *: Truck staff</t>
    </r>
    <r>
      <rPr>
        <i/>
        <sz val="10.0"/>
      </rPr>
      <t xml:space="preserve">
</t>
    </r>
    <r>
      <rPr>
        <i/>
        <color rgb="FF1E4E79"/>
        <sz val="10.0"/>
      </rPr>
      <t>Type: Full-time
Location *: Da Nang
Number of Position *: 10
Department: Delivery room
Expiration date: 31/12/2017
Approver: Manager 1
Hiring manager: Michace
Description: 
- Require
- Benefit</t>
    </r>
    <r>
      <rPr>
        <sz val="10.0"/>
      </rPr>
      <t xml:space="preserve">
4. Click Save
5. At plan list, click Send
6.1 Click No</t>
    </r>
  </si>
  <si>
    <r>
      <t xml:space="preserve">4. A recruitment plan is created in Draft status
Display information of each field match with the information entered. Detail:
</t>
    </r>
    <r>
      <rPr>
        <i/>
        <color rgb="FF2E75B5"/>
      </rPr>
      <t>Job tilte:  Truck staff
Type:  Full-time
Department: Delivery room
Location: Da Nang
Created Date: Current date
Approved date: 
Status: Draft</t>
    </r>
    <r>
      <t xml:space="preserve">
Plan list has two records with info of ST_8 in Pending approval status, ST_9 in Draft status
Plan list of HR is ordered by createDate desc: ST_9 is first record
5. The application show popup to confirm 
6. 1 The confirmation popup is closed status of record isn't changed
</t>
    </r>
  </si>
  <si>
    <t>6.2 Click Yes</t>
  </si>
  <si>
    <t>6.2 The confirmation popup is closed status of record is changed to Pending approval</t>
  </si>
  <si>
    <t xml:space="preserve">Manager </t>
  </si>
  <si>
    <t>View recruitement</t>
  </si>
  <si>
    <t>Login on web with Manager Role</t>
  </si>
  <si>
    <t>Verify that the user can view recruitment plan is sent by HR</t>
  </si>
  <si>
    <t>1. Go to "Recruitment"
2. Click "Approval"
3. At Pending approval tab, observe the screen</t>
  </si>
  <si>
    <t>The application displays the recruitment plan ST_8, ST_9 is sent from HR 
List is ordered by sendDate acs, ST_8 is first record</t>
  </si>
  <si>
    <t>Approved recruitment plan</t>
  </si>
  <si>
    <t>Verify that the user can approved the recruitment plan</t>
  </si>
  <si>
    <r>
      <rPr/>
      <t xml:space="preserve">1. Go to "Recruitment"
2. Click "Approval"
3. At Pending approval tab, click approve at ST_8
</t>
    </r>
    <r>
      <rPr>
        <rFont val="Arial"/>
        <i/>
        <color rgb="FF2F5496"/>
        <sz val="10.0"/>
      </rPr>
      <t>Job tilte *: Marketing staff</t>
    </r>
    <r>
      <rPr>
        <rFont val="Arial"/>
        <sz val="10.0"/>
      </rPr>
      <t xml:space="preserve">
4.1 Click No</t>
    </r>
  </si>
  <si>
    <t>3. The application shows confirm popup
4.1 The confirmation popup is closed the record isn't changed</t>
  </si>
  <si>
    <t xml:space="preserve">4.2 Click Yes
</t>
  </si>
  <si>
    <t xml:space="preserve">4.2 Close popup
The record is moved to Approved tab, disappear from Pending approval tab
</t>
  </si>
  <si>
    <t>Login on web with HR Role</t>
  </si>
  <si>
    <t>Verify that the user can view change of status after the manager approve</t>
  </si>
  <si>
    <t>5. Login with HR role
6. Go to Recruitment plan list</t>
  </si>
  <si>
    <t>6. The recruitment plan is changed to Approved status and approved date = current date</t>
  </si>
  <si>
    <t>Reject recruitemnt plan</t>
  </si>
  <si>
    <t>Verify that the user can reject the recruitment plan</t>
  </si>
  <si>
    <r>
      <rPr/>
      <t xml:space="preserve">1. Go to "Recruitment"
2. Click "Approval"
3. At Pending approval tab, click Reject at ST_9
</t>
    </r>
    <r>
      <rPr>
        <rFont val="Arial"/>
        <i/>
        <color rgb="FF2F5496"/>
        <sz val="10.0"/>
      </rPr>
      <t>Job tilte *: truck staff</t>
    </r>
    <r>
      <rPr>
        <rFont val="Arial"/>
        <sz val="10.0"/>
      </rPr>
      <t xml:space="preserve">
4. Enter comment/ reject reason
</t>
    </r>
    <r>
      <rPr>
        <rFont val="Arial"/>
        <i/>
        <color rgb="FF1E4E79"/>
        <sz val="10.0"/>
      </rPr>
      <t>"Refused because the description is missing information"</t>
    </r>
    <r>
      <rPr>
        <rFont val="Arial"/>
        <sz val="10.0"/>
      </rPr>
      <t xml:space="preserve">
5.1 Click No</t>
    </r>
  </si>
  <si>
    <t>3. The application shows confirmation popup
5.1 The confirmation popup is closed the record isn't changed</t>
  </si>
  <si>
    <t xml:space="preserve">5.2 Click Yes
</t>
  </si>
  <si>
    <t xml:space="preserve">5.2 Close popup
The record is moved to Reject tab, disappear from Pending approval tab
</t>
  </si>
  <si>
    <t>6. Login with HR  role
7. Go to Recruitment plan list</t>
  </si>
  <si>
    <r>
      <rPr/>
      <t>6. The recruitment plan is changed to Rejected status and Approved date = current date
Comment:</t>
    </r>
    <r>
      <rPr>
        <rFont val="Arial"/>
        <i/>
        <color rgb="FF2F5496"/>
        <sz val="10.0"/>
      </rPr>
      <t xml:space="preserve"> Refused because the description is missing information</t>
    </r>
  </si>
  <si>
    <t>Candidates</t>
  </si>
  <si>
    <t>Create a candidate</t>
  </si>
  <si>
    <t>Verify that the user can save candidate info successfully</t>
  </si>
  <si>
    <t>1. Go to "Recruitment"
2. Click "Candidates"</t>
  </si>
  <si>
    <t>2. The application shows the empty candidate list and message "No record"</t>
  </si>
  <si>
    <r>
      <rPr/>
      <t xml:space="preserve">3. Click Create
4. Input data
</t>
    </r>
    <r>
      <rPr>
        <rFont val="Arial"/>
        <i/>
        <color rgb="FF2F5496"/>
        <sz val="10.0"/>
      </rPr>
      <t xml:space="preserve">Full Name *: Marry
Email: marry@gmail.com; 
Contact Number: 0165255482
</t>
    </r>
    <r>
      <rPr>
        <rFont val="Arial"/>
        <color rgb="FF000000"/>
        <sz val="10.0"/>
      </rPr>
      <t>5. Search and choose recruitment plan</t>
    </r>
    <r>
      <rPr>
        <rFont val="Arial"/>
        <i/>
        <color rgb="FF2F5496"/>
        <sz val="10.0"/>
      </rPr>
      <t xml:space="preserve">
Vacancy : ST_8 (Marketing staff)</t>
    </r>
  </si>
  <si>
    <t>5. The application only shows and suggest  recruitment plan was approved</t>
  </si>
  <si>
    <r>
      <rPr/>
      <t xml:space="preserve">6. Attach CV : </t>
    </r>
    <r>
      <rPr>
        <rFont val="Arial"/>
        <i/>
        <color rgb="FF2F5496"/>
        <sz val="10.0"/>
      </rPr>
      <t>28112017_marry.pdf</t>
    </r>
  </si>
  <si>
    <r>
      <rPr/>
      <t xml:space="preserve">6. Attach successful CV, CV name displayes on screen </t>
    </r>
    <r>
      <rPr>
        <rFont val="Arial"/>
        <i/>
        <color rgb="FF2F5496"/>
        <sz val="10.0"/>
      </rPr>
      <t>"28112017_marry.pdf"</t>
    </r>
  </si>
  <si>
    <t>7. Click Save</t>
  </si>
  <si>
    <r>
      <t xml:space="preserve">7. The Candidate info is saved successful
A new record is displayed at candidate list. Detail
</t>
    </r>
    <r>
      <rPr>
        <i/>
        <color rgb="FF2F5496"/>
        <sz val="10.0"/>
      </rPr>
      <t>Full Name *: Marry
Contact infor: marry@gmail.com; 0165255482
Job title: Marketing staff
Department: Sale
Location: Da Nang
Date applied: current Date
Step: Application received 
Result:</t>
    </r>
  </si>
  <si>
    <t>8 Download CV
9. Open file</t>
  </si>
  <si>
    <r>
      <rPr/>
      <t xml:space="preserve">8. Download success to your computer file name </t>
    </r>
    <r>
      <rPr>
        <rFont val="Arial"/>
        <i/>
        <color rgb="FF1E4E79"/>
        <sz val="10.0"/>
      </rPr>
      <t>"28112017_marry.pdf"</t>
    </r>
    <r>
      <rPr>
        <rFont val="Arial"/>
        <sz val="10.0"/>
      </rPr>
      <t xml:space="preserve">
9. Open the correct attachment at creation time with file content correctly and fully</t>
    </r>
  </si>
  <si>
    <t>View candidate list</t>
  </si>
  <si>
    <t>Verify that the user can view candidates list</t>
  </si>
  <si>
    <r>
      <rPr/>
      <t xml:space="preserve">The application shows candidate list with one record ST_21
</t>
    </r>
    <r>
      <rPr>
        <rFont val="Arial"/>
        <i/>
        <color rgb="FF2F5496"/>
        <sz val="10.0"/>
      </rPr>
      <t>Full Name *: Marry
Contact infor: marry@gmail.com; 0165255482
Job title: Marketing staff
Department: Sale
Location: Da Nang
Date applied: current Date
Step: Application received 
Result:</t>
    </r>
  </si>
  <si>
    <t>Search candidate from list</t>
  </si>
  <si>
    <t>Verify that the user can Search candidates from the list</t>
  </si>
  <si>
    <t>1. Go to "Recruitment"
2. Click "Candidates"
3, Input key work in Search textbox
4, Click Search button</t>
  </si>
  <si>
    <t>Edit a candidate info</t>
  </si>
  <si>
    <r>
      <rPr/>
      <t xml:space="preserve">There exists a recruitment plan is approved with information
</t>
    </r>
    <r>
      <rPr>
        <rFont val="Arial"/>
        <i/>
        <color rgb="FF1E4E79"/>
        <sz val="10.0"/>
      </rPr>
      <t>Job tilte : Sale staff
Type: Full-time
Location : HCM
Number of Position : 5
Department: Delivery room
Expiration date: 31/12/2017
Approver: Manager 1
Description: 
- Require
- Benefit
- Contact info</t>
    </r>
    <r>
      <rPr>
        <rFont val="Arial"/>
        <sz val="10.0"/>
      </rPr>
      <t xml:space="preserve">
</t>
    </r>
  </si>
  <si>
    <t xml:space="preserve">Verify that the user can edit the candidate info </t>
  </si>
  <si>
    <r>
      <rPr/>
      <t xml:space="preserve">1. Go to "Recruitment"
2. Click "Candidates"
3. At candidate list, click edit at first record
4. Edit data
</t>
    </r>
    <r>
      <rPr>
        <rFont val="Arial"/>
        <i/>
        <color rgb="FF1F3864"/>
        <sz val="10.0"/>
      </rPr>
      <t>Full Name *: Linda
Email: linda@gmail.com; 
Contact Number: 04251024200</t>
    </r>
    <r>
      <rPr>
        <rFont val="Arial"/>
        <sz val="10.0"/>
      </rPr>
      <t xml:space="preserve">
5. Search and choose recruitment plan
Vacancy: </t>
    </r>
    <r>
      <rPr>
        <rFont val="Arial"/>
        <i/>
        <color rgb="FF1F3864"/>
        <sz val="10.0"/>
      </rPr>
      <t>(Sale staff)</t>
    </r>
    <r>
      <rPr>
        <rFont val="Arial"/>
        <sz val="10.0"/>
      </rPr>
      <t xml:space="preserve">
6. Attach CV : </t>
    </r>
    <r>
      <rPr>
        <rFont val="Arial"/>
        <i/>
        <color rgb="FF1F3864"/>
        <sz val="10.0"/>
      </rPr>
      <t>28112017_linda.pdf</t>
    </r>
    <r>
      <rPr>
        <rFont val="Arial"/>
        <sz val="10.0"/>
      </rPr>
      <t xml:space="preserve">
7. Click Save
</t>
    </r>
  </si>
  <si>
    <r>
      <t xml:space="preserve">
6. The CV is attached successful, CV name displayes on screen </t>
    </r>
    <r>
      <rPr>
        <i/>
        <color rgb="FF1E4E79"/>
        <sz val="10.0"/>
      </rPr>
      <t>"28112017_linda.pdf"</t>
    </r>
    <r>
      <rPr>
        <sz val="10.0"/>
      </rPr>
      <t xml:space="preserve">
7. The Candidate info is updated successful
The record info is displayed at candidate list. Detail
</t>
    </r>
    <r>
      <rPr>
        <i/>
        <color rgb="FF1E4E79"/>
        <sz val="10.0"/>
      </rPr>
      <t>Full Name : Linda
Contact infor:  linda@gmail.com; 04251024200
Job title: Sale staff
Department: Delivery room
Location: HCM
Date applied: current Date
Step: Application received 
Result:</t>
    </r>
    <r>
      <rPr>
        <sz val="10.0"/>
      </rPr>
      <t xml:space="preserve">
</t>
    </r>
  </si>
  <si>
    <t>8. At candidate list, click Download CV
9. Open file</t>
  </si>
  <si>
    <r>
      <t xml:space="preserve">8. Download successfully to your computer. file name </t>
    </r>
    <r>
      <rPr>
        <i/>
        <color rgb="FF1E4E79"/>
        <sz val="10.0"/>
      </rPr>
      <t>"28112017_linda.pdf"</t>
    </r>
    <r>
      <rPr>
        <sz val="10.0"/>
      </rPr>
      <t xml:space="preserve">
9. Open the correct attachment at creation time with file content correctly and fully</t>
    </r>
  </si>
  <si>
    <t>Delete a candidate</t>
  </si>
  <si>
    <t xml:space="preserve">Verify that the user can delete a candidate </t>
  </si>
  <si>
    <t>1. Go to "Recruitment"
2. Click "Candidates"
3. At candidate list, click delete at first record
4. Click No</t>
  </si>
  <si>
    <t>3. The application shows confirmation popup
4. The confirmation popup is closed the candidate isn't deteled
The list of the candidates still has one record</t>
  </si>
  <si>
    <t>5. Click Yes</t>
  </si>
  <si>
    <t>5. The confirmation popup is closed the candidate is deteled
The list of the candidates displays "No record"</t>
  </si>
  <si>
    <r>
      <rPr/>
      <t xml:space="preserve">1. Create a candidate with info:
</t>
    </r>
    <r>
      <rPr>
        <rFont val="Arial"/>
        <i/>
        <color rgb="FF2F5496"/>
        <sz val="10.0"/>
      </rPr>
      <t xml:space="preserve">Full Name : Anna
Contact infor:  anna@gmail.com; 
Number contact: 0425102478
</t>
    </r>
    <r>
      <rPr>
        <rFont val="Arial"/>
        <sz val="10.0"/>
      </rPr>
      <t>5. Search and choose recruitment plan</t>
    </r>
    <r>
      <rPr>
        <rFont val="Arial"/>
        <i/>
        <color rgb="FF2F5496"/>
        <sz val="10.0"/>
      </rPr>
      <t xml:space="preserve">
Vacancy : ST_8 (Marketing staff)
</t>
    </r>
    <r>
      <rPr>
        <rFont val="Arial"/>
        <sz val="10.0"/>
      </rPr>
      <t>6. Attach CV 
7 Save</t>
    </r>
    <r>
      <rPr>
        <rFont val="Arial"/>
        <i/>
        <color rgb="FF2F5496"/>
        <sz val="10.0"/>
      </rPr>
      <t xml:space="preserve">
</t>
    </r>
    <r>
      <rPr>
        <rFont val="Arial"/>
        <sz val="10.0"/>
      </rPr>
      <t xml:space="preserve">8. Repeat the same steps from 1 -&gt; 7 but others info
</t>
    </r>
    <r>
      <rPr>
        <rFont val="Arial"/>
        <i/>
        <color rgb="FF2F5496"/>
        <sz val="10.0"/>
      </rPr>
      <t>Full Name : Marry
Contact infor:  marry@gmail.com; 
Number contact: 0425102870
Vacancy : ST_8 (Marketing staff)</t>
    </r>
    <r>
      <rPr>
        <rFont val="Arial"/>
        <sz val="10.0"/>
      </rPr>
      <t xml:space="preserve">
CV: </t>
    </r>
    <r>
      <rPr>
        <rFont val="Arial"/>
        <i/>
        <color rgb="FF2F5496"/>
        <sz val="10.0"/>
      </rPr>
      <t>28112017_marry.pdf</t>
    </r>
    <r>
      <rPr>
        <rFont val="Arial"/>
        <sz val="10.0"/>
      </rPr>
      <t xml:space="preserve">
10. Repeat the same steps from 1 -&gt; 7 but others info
</t>
    </r>
    <r>
      <rPr>
        <rFont val="Arial"/>
        <i/>
        <color rgb="FF2F5496"/>
        <sz val="10.0"/>
      </rPr>
      <t>Full Name : John
Contact infor:  john@gmail.com; 
Number contact: 04251024208
Vacancy : Sale staff
CV: 28112017_john.pdf</t>
    </r>
    <r>
      <rPr>
        <rFont val="Arial"/>
        <sz val="10.0"/>
      </rPr>
      <t xml:space="preserve">
9. Check list display</t>
    </r>
  </si>
  <si>
    <r>
      <t xml:space="preserve">7. A candidate info is saved successfully
8. The Second candidate is created successfully
9. The list of candidate has three records. Detail
</t>
    </r>
    <r>
      <rPr>
        <i/>
        <color rgb="FF2F5496"/>
        <sz val="10.0"/>
      </rPr>
      <t xml:space="preserve">Full Name : Anna
Contact infor:  anna@gmail.com; 04251024278
Job title: Marketing staff
Department: Sale
Location: Da Nang
Date applied: current Date
Step: Application received 
Result:
</t>
    </r>
    <r>
      <rPr>
        <sz val="10.0"/>
      </rPr>
      <t>and</t>
    </r>
    <r>
      <rPr>
        <i/>
        <color rgb="FF2F5496"/>
        <sz val="10.0"/>
      </rPr>
      <t xml:space="preserve">
Full Name : Marry
Contact infor:  marry@gmail.com; 0425102870
Job title: Marketing staff
Department: Sale
Location: Da Nang
Date applied: current Date
Step: Application received 
Result:
</t>
    </r>
    <r>
      <rPr>
        <sz val="10.0"/>
      </rPr>
      <t>and</t>
    </r>
    <r>
      <rPr>
        <i/>
        <color rgb="FF2F5496"/>
        <sz val="10.0"/>
      </rPr>
      <t xml:space="preserve">
Full Name : John
Contact infor: john@gmail.com; 04251024200
Job title: Sale staff
Department: Delivery room
Location: HCM
Date applied: current Date
Step: Application received 
Result:</t>
    </r>
    <r>
      <rPr>
        <sz val="10.0"/>
      </rPr>
      <t xml:space="preserve">
The list is ordered createDate desc, John is first record, next Marry, Anna is finally record</t>
    </r>
  </si>
  <si>
    <t>10. Input search conditions
11. Click search</t>
  </si>
  <si>
    <t>The application shows only records match with search conditions</t>
  </si>
  <si>
    <t>Recruitment process</t>
  </si>
  <si>
    <t>Update the recruitment result to Passed</t>
  </si>
  <si>
    <t>Verify that the user can update result</t>
  </si>
  <si>
    <r>
      <rPr/>
      <t xml:space="preserve">1. Go to "Recruitment"
2. Click "Candidates"
3. At candidate list, click edit at first record
4. At result group, choose current step and result 
</t>
    </r>
    <r>
      <rPr>
        <rFont val="Arial"/>
        <i/>
        <color rgb="FF2F5496"/>
        <sz val="10.0"/>
      </rPr>
      <t>Current: Test 
Result: Passed</t>
    </r>
    <r>
      <rPr>
        <rFont val="Arial"/>
        <sz val="10.0"/>
      </rPr>
      <t xml:space="preserve">
5. Click Save
</t>
    </r>
  </si>
  <si>
    <r>
      <t xml:space="preserve">5. The Candidate info is updated successfully
The record info is displayed at candidate list. Detail
</t>
    </r>
    <r>
      <rPr>
        <i/>
        <color rgb="FF2F5496"/>
        <sz val="10.0"/>
      </rPr>
      <t>Full Name : John
Contact infor: john@gmail.com; 04251024200
Job title: Sale staff
Department: Delivery room
Location: HCM
Date applied: exist date, not change
Step: Test
Result: Passed</t>
    </r>
  </si>
  <si>
    <t>Update the recruitment result to Failed</t>
  </si>
  <si>
    <t>Verify that the user can update result of all step in recruitment process</t>
  </si>
  <si>
    <r>
      <rPr/>
      <t xml:space="preserve">1. Go to "Recruitment"
2. Click "Candidates"
3. At candidate list, click edit at first record
4. At result group, choose any step in recruitment process and result 
</t>
    </r>
    <r>
      <rPr>
        <rFont val="Arial"/>
        <i/>
        <color rgb="FF2F5496"/>
        <sz val="10.0"/>
      </rPr>
      <t>Current: Interview 1/ Passed</t>
    </r>
    <r>
      <rPr>
        <rFont val="Arial"/>
        <sz val="10.0"/>
      </rPr>
      <t xml:space="preserve">
5. Click Save
6. Repeat steps from 1 --&gt;5 with info
</t>
    </r>
    <r>
      <rPr>
        <rFont val="Arial"/>
        <i/>
        <color rgb="FF2F5496"/>
        <sz val="10.0"/>
      </rPr>
      <t>Offer/ Failed</t>
    </r>
  </si>
  <si>
    <r>
      <rPr/>
      <t xml:space="preserve">5. The Candidate info is updated successful
The record info is displayed at candidate list. Detail
</t>
    </r>
    <r>
      <rPr>
        <rFont val="Arial"/>
        <i/>
        <color rgb="FF2F5496"/>
        <sz val="10.0"/>
      </rPr>
      <t>Full Name : John
Contact infor: john@gmail.com; 04251024200
Job title: Sale staff
Department: Delivery room
Location: HCM
Date applied: exist date, not change
Step: Interview 1
Result: Passed</t>
    </r>
    <r>
      <rPr>
        <rFont val="Arial"/>
        <sz val="10.0"/>
      </rPr>
      <t xml:space="preserve">
6. The list will display finally result, old info has been updated
</t>
    </r>
    <r>
      <rPr>
        <rFont val="Arial"/>
        <i/>
        <color rgb="FF2F5496"/>
        <sz val="10.0"/>
      </rPr>
      <t>Full Name : John
Contact infor: john@gmail.com; 04251024200
Job title: Sale staff
Department: Delivery room
Location: HCM
Date applied: exist date, not change
Step: Offer
Result: Failed</t>
    </r>
  </si>
  <si>
    <t>Update the recruitment result</t>
  </si>
  <si>
    <t>Verify that the user can update the result of multi candidates in different plans</t>
  </si>
  <si>
    <r>
      <rPr/>
      <t xml:space="preserve">1. Go to "Recruitment"
2. Click "Candidates"
3. At candidate list, click edit at second record
</t>
    </r>
    <r>
      <rPr>
        <rFont val="Arial"/>
        <i/>
        <color rgb="FF2F5496"/>
        <sz val="10.0"/>
      </rPr>
      <t>Marry</t>
    </r>
    <r>
      <rPr>
        <rFont val="Arial"/>
        <sz val="10.0"/>
      </rPr>
      <t xml:space="preserve">
4. At result group, choose any step in recruitment process and result 
</t>
    </r>
    <r>
      <rPr>
        <rFont val="Arial"/>
        <i/>
        <color rgb="FF2F5496"/>
        <sz val="10.0"/>
      </rPr>
      <t>Current: Interview/ Passed</t>
    </r>
    <r>
      <rPr>
        <rFont val="Arial"/>
        <sz val="10.0"/>
      </rPr>
      <t xml:space="preserve">
5. Click Save</t>
    </r>
  </si>
  <si>
    <r>
      <rPr/>
      <t xml:space="preserve">5. The recruitment Result has been updated match with candidate is chosen
</t>
    </r>
    <r>
      <rPr>
        <rFont val="Arial"/>
        <i/>
        <color rgb="FF2F5496"/>
        <sz val="10.0"/>
      </rPr>
      <t>Full Name : Marry
Contact infor:  marry@gmail.com; 0425102870
Job title: Marketing staff
Department: Sale
Location: Da Nang
Date applied: current Date
Step: Interview
Result:Passes</t>
    </r>
  </si>
  <si>
    <r>
      <rPr/>
      <t xml:space="preserve">6. Repeat step from 1 --&gt;5 with third record
</t>
    </r>
    <r>
      <rPr>
        <rFont val="Arial"/>
        <i/>
        <color rgb="FF2F5496"/>
        <sz val="10.0"/>
      </rPr>
      <t>Anna
Interview/ Failed</t>
    </r>
  </si>
  <si>
    <r>
      <rPr/>
      <t xml:space="preserve">5. The recruitment Result has been updated match with candidate is chosen
</t>
    </r>
    <r>
      <rPr>
        <rFont val="Arial"/>
        <i/>
        <color rgb="FF2F5496"/>
        <sz val="10.0"/>
      </rPr>
      <t>Full Name : Anna
Contact infor:  anna@gmail.com; 04251024278
Job title: Marketing staff
Department: Sale
Location: Da Nang
Date applied: current Date
Step: Interview
Result: Failed</t>
    </r>
  </si>
  <si>
    <t>View the result of a recruitment plan</t>
  </si>
  <si>
    <t>Verify that the user can view the result of a recruitment plan</t>
  </si>
  <si>
    <r>
      <t xml:space="preserve">1. Go to "Recruitment"
2. Click "Recruitment list"
3. At list, click View Result icon at first record
</t>
    </r>
    <r>
      <rPr>
        <i/>
        <color rgb="FF2F5496"/>
        <sz val="10.0"/>
      </rPr>
      <t xml:space="preserve">( Sale staff)
</t>
    </r>
    <r>
      <rPr>
        <sz val="10.0"/>
      </rPr>
      <t xml:space="preserve">4. At list, click icon view result at second record </t>
    </r>
    <r>
      <rPr>
        <i/>
        <color rgb="FF2F5496"/>
        <sz val="10.0"/>
      </rPr>
      <t>(marketing staff</t>
    </r>
    <r>
      <rPr>
        <sz val="10.0"/>
      </rPr>
      <t xml:space="preserve">)
</t>
    </r>
  </si>
  <si>
    <r>
      <rPr/>
      <t xml:space="preserve">3. The application shows result: 
</t>
    </r>
    <r>
      <rPr>
        <rFont val="Arial"/>
        <i/>
        <color rgb="FF2F5496"/>
        <sz val="10.0"/>
      </rPr>
      <t xml:space="preserve">- Application Received: 0
- Test: 0
- Interview: 0
- Offer: 0
- Hire: 0
- Rejected: 1 
</t>
    </r>
    <r>
      <rPr>
        <rFont val="Arial"/>
        <sz val="10.0"/>
      </rPr>
      <t xml:space="preserve">4. The application shows result: </t>
    </r>
    <r>
      <rPr>
        <rFont val="Arial"/>
        <i/>
        <color rgb="FF2F5496"/>
        <sz val="10.0"/>
      </rPr>
      <t xml:space="preserve">
- Application Received : 0
- Test: 0
- Interview: 1
- Offer: 0
- Hire: 0
- Rejected: 1 </t>
    </r>
  </si>
  <si>
    <t>Updating candidate member information</t>
  </si>
  <si>
    <t>Verify that the user can  move from candidate to employee</t>
  </si>
  <si>
    <r>
      <rPr/>
      <t>1. Go to "Recruitment"
2. Click "Candidates"
3. At the candidate list, click edit at first record
4. At result group, check Pre-Employee and join date expected</t>
    </r>
    <r>
      <rPr>
        <rFont val="Arial"/>
        <i/>
        <color rgb="FF1F3864"/>
        <sz val="10.0"/>
      </rPr>
      <t xml:space="preserve">
Join date expected: 01/01/2018</t>
    </r>
    <r>
      <rPr>
        <rFont val="Arial"/>
        <sz val="10.0"/>
      </rPr>
      <t xml:space="preserve">
5. Click Save
</t>
    </r>
  </si>
  <si>
    <r>
      <rPr/>
      <t xml:space="preserve">Candidate information will be automatically updated in the employee list in  Pre-Employee status. Detail:
</t>
    </r>
    <r>
      <rPr>
        <rFont val="Arial"/>
        <i/>
        <color rgb="FF2F5496"/>
        <sz val="10.0"/>
      </rPr>
      <t>N</t>
    </r>
    <r>
      <rPr>
        <rFont val="Arial"/>
        <i/>
        <color rgb="FF1F3864"/>
        <sz val="10.0"/>
      </rPr>
      <t xml:space="preserve">ame: Marry
Job Title: Sale staff
Department: Delivery room
Status: Pre employee
Join date= join date expected: 01/01/2018
</t>
    </r>
    <r>
      <rPr>
        <rFont val="Arial"/>
        <sz val="10.0"/>
      </rPr>
      <t>Others info is blanked</t>
    </r>
    <r>
      <rPr>
        <rFont val="Arial"/>
        <i/>
        <color rgb="FF1F3864"/>
        <sz val="10.0"/>
      </rPr>
      <t xml:space="preserve">
</t>
    </r>
    <r>
      <rPr>
        <rFont val="Arial"/>
        <sz val="10.0"/>
      </rPr>
      <t xml:space="preserve">In Candidate list, </t>
    </r>
    <r>
      <rPr>
        <rFont val="Arial"/>
        <i/>
        <color rgb="FF1F3864"/>
        <sz val="10.0"/>
      </rPr>
      <t xml:space="preserve">
result: Hired</t>
    </r>
  </si>
  <si>
    <t>Admin</t>
  </si>
  <si>
    <t>Login on web with Admin role</t>
  </si>
  <si>
    <t>6. Login with Admin role
7. Go to account list</t>
  </si>
  <si>
    <r>
      <rPr/>
      <t xml:space="preserve">The account list has a new record with some info
</t>
    </r>
    <r>
      <rPr>
        <rFont val="Arial"/>
        <color rgb="FF2F5496"/>
        <sz val="10.0"/>
      </rPr>
      <t>Id: 1234 (auto)</t>
    </r>
    <r>
      <rPr>
        <rFont val="Arial"/>
        <sz val="10.0"/>
      </rPr>
      <t xml:space="preserve">
</t>
    </r>
    <r>
      <rPr>
        <rFont val="Arial"/>
        <i/>
        <color rgb="FF2F5496"/>
        <sz val="10.0"/>
      </rPr>
      <t>Full name: Marry
Job Title: Sale staff
Department: Delivery room
Status: Pre employee
Created Date: current Date</t>
    </r>
    <r>
      <rPr>
        <rFont val="Arial"/>
        <sz val="10.0"/>
      </rPr>
      <t xml:space="preserve">
Others info is blanked</t>
    </r>
  </si>
  <si>
    <t>Verify that the user can view  the result of the recruitment will be updated when HR update results for each candidate</t>
  </si>
  <si>
    <r>
      <rPr/>
      <t xml:space="preserve">1. Go to "Recruitment"
2. Click "Recruitment list"
3. At list, click icon view result at second record
</t>
    </r>
    <r>
      <rPr>
        <rFont val="Arial"/>
        <i/>
        <color rgb="FF2F5496"/>
        <sz val="10.0"/>
      </rPr>
      <t>(marketing staff)</t>
    </r>
  </si>
  <si>
    <t xml:space="preserve">4. The application shows result: 
- Application Received : 0
- Test: 0
- Interview: 0
- Offer: 0
- Hire: 1
- Rejected: 1 </t>
  </si>
  <si>
    <t>2. Account and permission</t>
  </si>
  <si>
    <t>Create user</t>
  </si>
  <si>
    <t>Login on web with admin role</t>
  </si>
  <si>
    <t>Verify that the user can Create an new user account</t>
  </si>
  <si>
    <r>
      <rPr/>
      <t xml:space="preserve">1. Go to "Account"
2. Click Create
3. Input information 
</t>
    </r>
    <r>
      <rPr>
        <rFont val="Arial"/>
        <i/>
        <color rgb="FF2F5496"/>
        <sz val="10.0"/>
      </rPr>
      <t>Username: john1235
Employee Name: john
Department: Sale
Job title: Marketing 
Email: john@gmail.com
Status: working, default and disable</t>
    </r>
    <r>
      <rPr>
        <rFont val="Arial"/>
        <sz val="10.0"/>
      </rPr>
      <t xml:space="preserve">
- Check role : 
</t>
    </r>
    <r>
      <rPr>
        <rFont val="Arial"/>
        <i/>
        <color rgb="FF2F5496"/>
        <sz val="10.0"/>
      </rPr>
      <t>Employee</t>
    </r>
    <r>
      <rPr>
        <rFont val="Arial"/>
        <sz val="10.0"/>
      </rPr>
      <t xml:space="preserve">
4. Click Save</t>
    </r>
  </si>
  <si>
    <r>
      <t xml:space="preserve">An new account is created successfully, displays at first record in list. Info detail: 
</t>
    </r>
    <r>
      <rPr>
        <i/>
        <color rgb="FF2F5496"/>
        <sz val="10.0"/>
      </rPr>
      <t>ID: 1235
Username: john1235
Name: John
Dept: Sale 
Role: employee
Status: Working, default
Lock: unlock, icon lock is displayed
Created Date: current Date</t>
    </r>
    <r>
      <rPr>
        <sz val="10.0"/>
      </rPr>
      <t xml:space="preserve">
Account list is ordered by CreatedDate desc</t>
    </r>
  </si>
  <si>
    <t>View detail</t>
  </si>
  <si>
    <t>Verify that the user can view detail an user account</t>
  </si>
  <si>
    <r>
      <rPr/>
      <t xml:space="preserve">1. Go to "Account"
2. Click View detail at second record 
</t>
    </r>
    <r>
      <rPr>
        <rFont val="Arial"/>
        <i/>
        <color rgb="FF2F5496"/>
        <sz val="10.0"/>
      </rPr>
      <t>user: john1235</t>
    </r>
    <r>
      <rPr>
        <rFont val="Arial"/>
        <sz val="10.0"/>
      </rPr>
      <t xml:space="preserve">
</t>
    </r>
  </si>
  <si>
    <r>
      <rPr/>
      <t xml:space="preserve">1. The application show list has 2 record: jack, marry
2. The application shows info detail
</t>
    </r>
    <r>
      <rPr>
        <rFont val="Arial"/>
        <i/>
        <color rgb="FF2F5496"/>
        <sz val="10.0"/>
      </rPr>
      <t>ID: 1235
Username: john1235
Name: John
Job title: Marketing 
Dept: Delivery room
Role: employee
Status: Working, default
Email: john@gmail.com
Created Date: current Date</t>
    </r>
  </si>
  <si>
    <t>Employee</t>
  </si>
  <si>
    <t>Permission</t>
  </si>
  <si>
    <t>Login on web with Employee role</t>
  </si>
  <si>
    <t>Verify that the user can only access to permission function</t>
  </si>
  <si>
    <r>
      <rPr/>
      <t xml:space="preserve">5. Login on web with acc just is created
</t>
    </r>
    <r>
      <rPr>
        <rFont val="Arial"/>
        <i/>
        <color rgb="FF2F5496"/>
        <sz val="10.0"/>
      </rPr>
      <t>user: john1235
pass: default</t>
    </r>
    <r>
      <rPr>
        <rFont val="Arial"/>
        <sz val="10.0"/>
      </rPr>
      <t xml:space="preserve">
6. Check menu/ function</t>
    </r>
  </si>
  <si>
    <r>
      <rPr/>
      <t xml:space="preserve">5. Login successful
Only access to employee functions
</t>
    </r>
    <r>
      <rPr>
        <rFont val="Arial"/>
        <i/>
        <color rgb="FF2F5496"/>
        <sz val="10.0"/>
      </rPr>
      <t>Time off ( create, my time off)
Overtime ( create, my Overtime)
Evaluation: Assigned list, My Evaluation
KPI: KPI list
Training: My training, Training list
Attendance: My attendance
Profile: view profile, search others (only display basic info)
My Salary
Timesheet: My timesheet</t>
    </r>
    <r>
      <rPr>
        <rFont val="Arial"/>
        <sz val="10.0"/>
      </rPr>
      <t xml:space="preserve">
The data display the right employees</t>
    </r>
  </si>
  <si>
    <t>5. Login on mobile with acc just is created
user: john1235
pass: default
6. Check menu/ function</t>
  </si>
  <si>
    <r>
      <rPr/>
      <t xml:space="preserve">Only access to employee functions
</t>
    </r>
    <r>
      <rPr>
        <rFont val="Arial"/>
        <i/>
        <color rgb="FF2F5496"/>
        <sz val="10.0"/>
      </rPr>
      <t>Time off : create, my time off 
Overtime: create, my Overtime
Evaluation: Assigned list, implement evaluation, my Evaluation (view result)
KPI: KPI list (view , feedback)
Training: My training, Training list (enroll, view detail)
Attendance: My attendance
Profile: view profile, search others (only display basic info)
My Salary
Timesheet: My timesheet</t>
    </r>
    <r>
      <rPr>
        <rFont val="Arial"/>
        <sz val="10.0"/>
      </rPr>
      <t xml:space="preserve">
The data display the right employees</t>
    </r>
  </si>
  <si>
    <t>Edit user</t>
  </si>
  <si>
    <t>Verify that the user can Edit an user account is moved from recruitment process</t>
  </si>
  <si>
    <r>
      <rPr/>
      <t xml:space="preserve">1. Go to "Account"
2. Click edit in the second record: marry
Name: Marry
3. Input data
</t>
    </r>
    <r>
      <rPr>
        <rFont val="Arial"/>
        <i/>
        <color rgb="FF2F5496"/>
        <sz val="10.0"/>
      </rPr>
      <t>username: marry1234
Status: Pre employee. disable</t>
    </r>
    <r>
      <rPr>
        <rFont val="Arial"/>
        <sz val="10.0"/>
      </rPr>
      <t xml:space="preserve">
- Check role: employee
4. Save</t>
    </r>
  </si>
  <si>
    <r>
      <rPr/>
      <t xml:space="preserve">1. The application show list has 2 record: john, marry
2. The application shows info detail
</t>
    </r>
    <r>
      <rPr>
        <rFont val="Arial"/>
        <i/>
        <color rgb="FF2F5496"/>
        <sz val="10.0"/>
      </rPr>
      <t>ID: auto
Username: 
Full name: Marry
Job Title: Sale staff
Department: Delivery room
Status: Pre employee, disable
Role: uncheck all</t>
    </r>
    <r>
      <rPr>
        <rFont val="Arial"/>
        <sz val="10.0"/>
      </rPr>
      <t xml:space="preserve">
4. An account is updated
</t>
    </r>
    <r>
      <rPr>
        <rFont val="Arial"/>
        <i/>
        <color rgb="FF2F5496"/>
        <sz val="10.0"/>
      </rPr>
      <t>ID: auto
username: marry1234
Name: Marry
Job Title: Sale staff
Dept: Delivery room
Role: employee
Status: Pre employee
Created Date: not change</t>
    </r>
  </si>
  <si>
    <r>
      <rPr/>
      <t xml:space="preserve">5. Login on web with acc just is created
</t>
    </r>
    <r>
      <rPr>
        <rFont val="Arial"/>
        <i/>
        <color rgb="FF2F5496"/>
        <sz val="10.0"/>
      </rPr>
      <t>username: marry1234
pass: default</t>
    </r>
  </si>
  <si>
    <t>Login failed ( only login with working status)</t>
  </si>
  <si>
    <t>Verify that the user can create an account in Leader role</t>
  </si>
  <si>
    <r>
      <rPr/>
      <t xml:space="preserve">1. Go to "Account"
2. Click Create
3. Input information 
</t>
    </r>
    <r>
      <rPr>
        <rFont val="Arial"/>
        <i/>
        <color rgb="FF2F5496"/>
        <sz val="10.0"/>
      </rPr>
      <t>Employee Name: leader1
Department: Delivery room
Job title: Delivery leader
Email: leader@gmail.com
Status: Working, disable
- Check role : 
Leader</t>
    </r>
    <r>
      <rPr>
        <rFont val="Arial"/>
        <sz val="10.0"/>
      </rPr>
      <t xml:space="preserve">
4. Click Save</t>
    </r>
  </si>
  <si>
    <r>
      <rPr/>
      <t xml:space="preserve">1. The application show list has 3 record: leader1, john, marry
4. An account is created in the user list
</t>
    </r>
    <r>
      <rPr>
        <rFont val="Arial"/>
        <i/>
        <color rgb="FF2F5496"/>
        <sz val="10.0"/>
      </rPr>
      <t>ID: 1237
username: leader11237
Name: leader
Job title: Delivery leader
Dept: Delivery room
Role: leader
Status: working
Created Date: current date</t>
    </r>
  </si>
  <si>
    <r>
      <rPr/>
      <t xml:space="preserve">6. Login on web with acc just is created
</t>
    </r>
    <r>
      <rPr>
        <rFont val="Arial"/>
        <i/>
        <color rgb="FF2F5496"/>
        <sz val="10.0"/>
      </rPr>
      <t>username: leader11237
pass: default</t>
    </r>
  </si>
  <si>
    <r>
      <rPr/>
      <t xml:space="preserve">Only access to leader functions
</t>
    </r>
    <r>
      <rPr>
        <rFont val="Arial"/>
        <i/>
        <color rgb="FF2F5496"/>
        <sz val="10.0"/>
      </rPr>
      <t>Time off ( create, my time off, approval)
Overtime ( create, my Overtime, approval)
Evaluation: Assigned list, My Evaluation
KPI: KPI list (create, edit, publish, view detail, feedback)
Training: My training, Training list
Attendance: My attendance, member attendance, approval (request change  work time of member)
Profile: view profile, search others (only display basic info)
Employee: member list, view detail
My Salary
Timesheet: My timesheet, member time sheet
Discipline/reward : reward/ discipline list(view detail)</t>
    </r>
    <r>
      <rPr>
        <rFont val="Arial"/>
        <sz val="10.0"/>
      </rPr>
      <t xml:space="preserve">
The data display the right leader</t>
    </r>
  </si>
  <si>
    <r>
      <rPr/>
      <t xml:space="preserve">6. Login on mobile with acc just is created
</t>
    </r>
    <r>
      <rPr>
        <rFont val="Arial"/>
        <i/>
        <color rgb="FF2F5496"/>
        <sz val="10.0"/>
      </rPr>
      <t>username: leader11237
pass: default</t>
    </r>
    <r>
      <rPr>
        <rFont val="Arial"/>
        <sz val="10.0"/>
      </rPr>
      <t xml:space="preserve">
7. Check menu/ function</t>
    </r>
  </si>
  <si>
    <r>
      <rPr/>
      <t xml:space="preserve">Only access to leader functions
</t>
    </r>
    <r>
      <rPr>
        <rFont val="Arial"/>
        <i/>
        <color rgb="FF2F5496"/>
        <sz val="10.0"/>
      </rPr>
      <t>Time off ( create, my time off, approval)
Overtime ( create, my Overtime, approval)
Evaluation: Assigned list, My Evaluation, Evaluation list, Evaluation result
KPI: KPI list ( view, feedback...)
Traning: My training, Training list
Attendance: My attendance, member attendance, approve the request change to work time
Profile: view profile, search others (only display basic info)
Employee: member list, view detail
My Salary
Timesheet: My timesheet, member time sheet</t>
    </r>
    <r>
      <rPr>
        <rFont val="Arial"/>
        <sz val="10.0"/>
      </rPr>
      <t xml:space="preserve">
The data display the right leader</t>
    </r>
  </si>
  <si>
    <t>Verify that the user can create an account with Manager Role</t>
  </si>
  <si>
    <r>
      <rPr/>
      <t xml:space="preserve">1. Go to "Account"
2. Click Create
3. Input information 
</t>
    </r>
    <r>
      <rPr>
        <rFont val="Arial"/>
        <i/>
        <color rgb="FF2F5496"/>
        <sz val="10.0"/>
      </rPr>
      <t xml:space="preserve">Employee Name: manager1
Department: Delivery room
Job title: Manager
Email: manager@gmail.com
Status: Working, disable
- Check role : 
Manager </t>
    </r>
    <r>
      <rPr>
        <rFont val="Arial"/>
        <sz val="10.0"/>
      </rPr>
      <t xml:space="preserve">
4. Click Save</t>
    </r>
  </si>
  <si>
    <r>
      <rPr/>
      <t xml:space="preserve">The application show list has 4 record:  manager1, leader1, john, marry
 An account is created in the user list
</t>
    </r>
    <r>
      <rPr>
        <rFont val="Arial"/>
        <i/>
        <color rgb="FF2F5496"/>
        <sz val="10.0"/>
      </rPr>
      <t>ID: 1238
username: manager11238
Name: Manager1
Job title: manager 
Dept: Delivery room
Role: manager 
Status: working
Created Date: current date</t>
    </r>
  </si>
  <si>
    <r>
      <rPr/>
      <t xml:space="preserve">6. Login on web with acc just is created
</t>
    </r>
    <r>
      <rPr>
        <rFont val="Arial"/>
        <i/>
        <color rgb="FF2F5496"/>
        <sz val="10.0"/>
      </rPr>
      <t>username: manager11238
pass: default</t>
    </r>
    <r>
      <rPr>
        <rFont val="Arial"/>
        <sz val="10.0"/>
      </rPr>
      <t xml:space="preserve">
7. Check menu/ function</t>
    </r>
  </si>
  <si>
    <r>
      <rPr/>
      <t xml:space="preserve">Only access to manager functions
</t>
    </r>
    <r>
      <rPr>
        <rFont val="Arial"/>
        <i/>
        <color rgb="FF2F5496"/>
        <sz val="10.0"/>
      </rPr>
      <t>Time off ( create, my time off, approval)
Overtime ( create, my Overtime, approval)
Evaluation: Assigned list, My Evaluation, Evaluation result, Evaluation list
KPI: KPI list
Training: My training, Training list, Register list
Attendance: My attendance, employee attendance, approve the request
Profile: view profile, search others (only display basic info)
Employee: employee list, view detail (full info)
My Salary
Timesheet: My timesheet, employee timesheet
Reward/Discipline: list ( create, edit, delete, publish)
Payroll : approval
Insurance: approval</t>
    </r>
    <r>
      <rPr>
        <rFont val="Arial"/>
        <sz val="10.0"/>
      </rPr>
      <t xml:space="preserve">
The data display the right manager</t>
    </r>
  </si>
  <si>
    <r>
      <rPr/>
      <t xml:space="preserve">6. Login on mobile with acc just is created
</t>
    </r>
    <r>
      <rPr>
        <rFont val="Arial"/>
        <i/>
        <color rgb="FF2F5496"/>
        <sz val="10.0"/>
      </rPr>
      <t>username: manager11238
pass: default</t>
    </r>
    <r>
      <rPr>
        <rFont val="Arial"/>
        <sz val="10.0"/>
      </rPr>
      <t xml:space="preserve">
7. Check menu/ function</t>
    </r>
  </si>
  <si>
    <r>
      <rPr/>
      <t xml:space="preserve">Only access to manager functions
</t>
    </r>
    <r>
      <rPr>
        <rFont val="Arial"/>
        <i/>
        <color rgb="FF2F5496"/>
        <sz val="10.0"/>
      </rPr>
      <t>Time off ( create, my time off, approval)
Overtime ( create, my Overtime, approval)
Evaluation: Assigned list, My Evaluation, Evaluation list, Evaluation result
KPI: KPI list ( view, feedback...)
Training: My training, Training list
Attendance: My attendance, member attendance, approve the request change to work time
Profile: view profile, search others (only display basic info)
Employee: member list, view detail
My Salary
Timesheet: My timesheet, employee timesheet</t>
    </r>
    <r>
      <rPr>
        <rFont val="Arial"/>
        <sz val="10.0"/>
      </rPr>
      <t xml:space="preserve">
The data display the right manager </t>
    </r>
  </si>
  <si>
    <t>Verify that the user can Create an account in HR role</t>
  </si>
  <si>
    <r>
      <rPr/>
      <t xml:space="preserve">1. Go to "Account"
2. Click Create
3. Input information 
</t>
    </r>
    <r>
      <rPr>
        <rFont val="Arial"/>
        <i/>
        <color rgb="FF2F5496"/>
        <sz val="10.0"/>
      </rPr>
      <t>Employee Name: hr
Department: HR room
Job title: hr
Email: hr@gmail.com
Status: Working, disable
- Check role : 
HR</t>
    </r>
    <r>
      <rPr>
        <rFont val="Arial"/>
        <sz val="10.0"/>
      </rPr>
      <t xml:space="preserve">
4. Click Save</t>
    </r>
  </si>
  <si>
    <r>
      <rPr/>
      <t xml:space="preserve">The application show list has 5 record:  hr, manager1, leader1, john, marry
4. An account is updated in the user list
</t>
    </r>
    <r>
      <rPr>
        <rFont val="Arial"/>
        <i/>
        <color rgb="FF2F5496"/>
        <sz val="10.0"/>
      </rPr>
      <t>ID: 1239
username: hr1239
Name: hr
Dept: HR room
Role: HR
Status: working
Created Date: current date</t>
    </r>
  </si>
  <si>
    <r>
      <rPr/>
      <t xml:space="preserve">6. Login on web with acc just is created
</t>
    </r>
    <r>
      <rPr>
        <rFont val="Arial"/>
        <i/>
        <color rgb="FF2F5496"/>
        <sz val="10.0"/>
      </rPr>
      <t>username: hr1239
pass: default</t>
    </r>
    <r>
      <rPr>
        <rFont val="Arial"/>
        <sz val="10.0"/>
      </rPr>
      <t xml:space="preserve">
7. Check menu/ function</t>
    </r>
  </si>
  <si>
    <r>
      <rPr/>
      <t xml:space="preserve">Only access to HR functions
</t>
    </r>
    <r>
      <rPr>
        <rFont val="Arial"/>
        <i/>
        <color rgb="FF2F5496"/>
        <sz val="10.0"/>
      </rPr>
      <t xml:space="preserve">Time off ( create, my time off, approval)
Overtime ( create, my Overtime, approval)
Evaluation: Assigned list, My Evaluation, Evaluation result, Evaluation list
KPI: KPI list
Training: My training, Training list, Register list
Attendance: My attendance, employee attendance, approve the request
Profile: view profile, search others (only display basic info)
Employee: employee list, view detail (full info)
My Salary
Timesheet: My timesheet, employee timesheet
Reward/Discipline: list (view, set done)
Payroll : config payroll rule, run payroll, payroll  list, create, edit/ delete/ send, unpaid list (mark payment)
Insurance: create premium, premium  list, adjust, create, edit/ delete/ send, unpaid list (mark payment) </t>
    </r>
    <r>
      <rPr>
        <rFont val="Arial"/>
        <sz val="10.0"/>
      </rPr>
      <t xml:space="preserve">
The data display the right HR role</t>
    </r>
  </si>
  <si>
    <r>
      <rPr/>
      <t xml:space="preserve">6. Login on mobile with acc just is created
</t>
    </r>
    <r>
      <rPr>
        <rFont val="Arial"/>
        <i/>
        <color rgb="FF2F5496"/>
        <sz val="10.0"/>
      </rPr>
      <t>username: hr1239
pass: default</t>
    </r>
    <r>
      <rPr>
        <rFont val="Arial"/>
        <sz val="10.0"/>
      </rPr>
      <t xml:space="preserve">
7. Check menu/ function</t>
    </r>
  </si>
  <si>
    <r>
      <rPr/>
      <t xml:space="preserve">Only access to HR functions:
</t>
    </r>
    <r>
      <rPr>
        <rFont val="Arial"/>
        <i/>
        <color rgb="FF2F5496"/>
        <sz val="10.0"/>
      </rPr>
      <t>Time off ( create, my time off, approval)
Overtime ( create, my Overtime, approval)
Evaluation: Assigned list, My Evaluatio
KPI: KPI list ( view, feedback...)
Training: My training, Training list
Attendance: My attendance, employee attendance, view request chage work time
Profile: view profile, search others (only display basic info)
Employee: employee list, view detail (full info)
My salary
Timesheet: My timesheet</t>
    </r>
    <r>
      <rPr>
        <rFont val="Arial"/>
        <sz val="10.0"/>
      </rPr>
      <t xml:space="preserve">
The data display the right HR role</t>
    </r>
  </si>
  <si>
    <t>Verify that the user can Create an account in Trainer</t>
  </si>
  <si>
    <r>
      <rPr/>
      <t xml:space="preserve">1. Go to "Account"
2. Click Create
3. Input information 
</t>
    </r>
    <r>
      <rPr>
        <rFont val="Arial"/>
        <i/>
        <color rgb="FF2F5496"/>
        <sz val="10.0"/>
      </rPr>
      <t>Employee Name: trainer
Department: Training room
Job title: trainer
Email: trainer@gmail.com
Status: Working, disable
- Check role : 
Trainer</t>
    </r>
    <r>
      <rPr>
        <rFont val="Arial"/>
        <sz val="10.0"/>
      </rPr>
      <t xml:space="preserve">
4. Click Save</t>
    </r>
  </si>
  <si>
    <t>The application show list has 6 record:  trainer, hr, manager1, leader1, john, marry
4. An account is updated in the user list
ID: 1240
username: trainer1240
Employee Name: trainer
Department: Training room
Job title: trainer
Status: Working, disable
Created Date: current date</t>
  </si>
  <si>
    <t>6. Login on web with acc just is created
username: trainer1240
pass: default
7. Check menu/ function</t>
  </si>
  <si>
    <r>
      <rPr/>
      <t xml:space="preserve">Only access to HR functions
</t>
    </r>
    <r>
      <rPr>
        <rFont val="Arial"/>
        <i/>
        <color rgb="FF2F5496"/>
        <sz val="10.0"/>
      </rPr>
      <t>Time off ( create, my time off, approval)
Overtime ( create, my Overtime, approval)
Evaluation: Assigned list, My Evaluation, Evaluation result, Evaluation list
KPI: KPI list
Training: My training, Training list, Register list
Attendance: My attendance, employee attendance, approve the request
Profile: view profile, search others (only display basic info)
Employee: employee list, view detail (full info)
My Salary
Timesheet: My timesheet, employee timesheet</t>
    </r>
    <r>
      <rPr>
        <rFont val="Arial"/>
        <sz val="10.0"/>
      </rPr>
      <t xml:space="preserve">
The data display the right Trainer role</t>
    </r>
  </si>
  <si>
    <t>6. Login on mobile with acc just is created
username: trainer1240
pass: default
7. Check menu/ function</t>
  </si>
  <si>
    <r>
      <rPr/>
      <t xml:space="preserve">Only access to HR functions:
</t>
    </r>
    <r>
      <rPr>
        <rFont val="Arial"/>
        <i/>
        <color rgb="FF2F5496"/>
        <sz val="10.0"/>
      </rPr>
      <t>Time off ( create, my time off, approval)
Overtime ( create, my Overtime, approval)
Evaluation: Assigned list, My Evaluatio
KPI: KPI list ( view, feedback...)
Training: My training, Training list
Attendance: My attendance, employee attendance, view request chage work time
Profile: view profile, search others (only display basic info)
Employee: employee list, view detail (full info)
My salary
Timesheet: My timesheet</t>
    </r>
    <r>
      <rPr>
        <rFont val="Arial"/>
        <sz val="10.0"/>
      </rPr>
      <t xml:space="preserve">
The data display the right Trainer role</t>
    </r>
  </si>
  <si>
    <t>Edit account</t>
  </si>
  <si>
    <t>Verify that the user can edit an account info</t>
  </si>
  <si>
    <r>
      <rPr/>
      <t>1. Go to Account
2. Click Edit at 5th record ( john)
3. Edit data:</t>
    </r>
    <r>
      <rPr>
        <rFont val="Arial"/>
        <color rgb="FF2F5496"/>
        <sz val="10.0"/>
      </rPr>
      <t xml:space="preserve">
Name: Johnson
Job title: Marketing 
Dept: Sale room
Role: leader
Email: johnson@gmail.com
</t>
    </r>
    <r>
      <rPr>
        <rFont val="Arial"/>
        <sz val="10.0"/>
      </rPr>
      <t xml:space="preserve">4. Save
</t>
    </r>
  </si>
  <si>
    <r>
      <rPr/>
      <t xml:space="preserve">1. The application shows 6 records
2. The applicatioon show edit screen with info:
</t>
    </r>
    <r>
      <rPr>
        <rFont val="Arial"/>
        <i/>
        <color rgb="FF2F5496"/>
        <sz val="10.0"/>
      </rPr>
      <t xml:space="preserve">ID: 1235, disable
Username: john1235, disable
Name: John
Job title: Marketing 
Dept: Sale room
Role: employee
Status: Working,disable
Email: john@gmail.com
</t>
    </r>
    <r>
      <rPr>
        <rFont val="Arial"/>
        <sz val="10.0"/>
      </rPr>
      <t>4. A record is updated</t>
    </r>
    <r>
      <rPr>
        <rFont val="Arial"/>
        <i/>
        <color rgb="FF2F5496"/>
        <sz val="10.0"/>
      </rPr>
      <t xml:space="preserve">
ID: 1235
Username: john1235
Name: Johnson
Job title: Marketing 
Dept: Sale room
Role: leader
Status: Working
Email: johnson@gmail.com
Created Date: not change</t>
    </r>
  </si>
  <si>
    <t>View list account</t>
  </si>
  <si>
    <t>Verify that the user can create user with different role</t>
  </si>
  <si>
    <r>
      <rPr/>
      <t xml:space="preserve">1. Go to "Account"
2. Click Create
3. Input information 
</t>
    </r>
    <r>
      <rPr>
        <rFont val="Arial"/>
        <i/>
        <color rgb="FF2F5496"/>
        <sz val="10.0"/>
      </rPr>
      <t>Username: emp1241
ID:1241
Employee Name: employee
Department: Sale
Job title: Marketing 
Email: emp@gmail.com
Status: working, default and disable</t>
    </r>
    <r>
      <rPr>
        <rFont val="Arial"/>
        <sz val="10.0"/>
      </rPr>
      <t xml:space="preserve">
- Check role : 
</t>
    </r>
    <r>
      <rPr>
        <rFont val="Arial"/>
        <i/>
        <color rgb="FF2F5496"/>
        <sz val="10.0"/>
      </rPr>
      <t>Employee</t>
    </r>
    <r>
      <rPr>
        <rFont val="Arial"/>
        <sz val="10.0"/>
      </rPr>
      <t xml:space="preserve">
4. Click Save
5. Repeat steps 1 - 4 sequence with other info
username: </t>
    </r>
    <r>
      <rPr>
        <rFont val="Arial"/>
        <i/>
        <color rgb="FF2F5496"/>
        <sz val="10.0"/>
      </rPr>
      <t>manager21242</t>
    </r>
    <r>
      <rPr>
        <rFont val="Arial"/>
        <sz val="10.0"/>
      </rPr>
      <t xml:space="preserve">
</t>
    </r>
    <r>
      <rPr>
        <rFont val="Arial"/>
        <i/>
        <color rgb="FF2F5496"/>
        <sz val="10.0"/>
      </rPr>
      <t>ID: 1242
role: manager 
name:manager 2</t>
    </r>
    <r>
      <rPr>
        <rFont val="Arial"/>
        <sz val="10.0"/>
      </rPr>
      <t xml:space="preserve">
</t>
    </r>
  </si>
  <si>
    <t>4. Account list displays 8 record: Manager2 (manager21242), employee (emp1241), trainer (trainer240), hr (hr1239), manager1 (manager11238), leader1 (leader11237), johnson (johnson1235), marry (marry1234)
The list is ordered by createdDate desc</t>
  </si>
  <si>
    <t>Search the account info</t>
  </si>
  <si>
    <t xml:space="preserve">Verify that the user can search an account info </t>
  </si>
  <si>
    <r>
      <rPr/>
      <t xml:space="preserve">1. Go to account
2. Input serach condition
</t>
    </r>
    <r>
      <rPr>
        <rFont val="Arial"/>
        <i/>
        <color rgb="FF2F5496"/>
        <sz val="10.0"/>
      </rPr>
      <t>Name: ma
Lock: all
Department: Delivery room</t>
    </r>
    <r>
      <rPr>
        <rFont val="Arial"/>
        <sz val="10.0"/>
      </rPr>
      <t xml:space="preserve">
3. Click Search
</t>
    </r>
  </si>
  <si>
    <t xml:space="preserve">1. The application shows 8 records
3. The application show 2 records:
Marry
Manager1
</t>
  </si>
  <si>
    <t>3. Employee profile</t>
  </si>
  <si>
    <t>Personal info</t>
  </si>
  <si>
    <t>Web
and Mobile</t>
  </si>
  <si>
    <t>View employee list</t>
  </si>
  <si>
    <t>Login on web / mobile with HR role
user: hr
pass: default</t>
  </si>
  <si>
    <t>Verify that the user can view employee list</t>
  </si>
  <si>
    <t xml:space="preserve">1. Go to "Employee"
2. Click "Employee list"
3. Check display
4. Check order
</t>
  </si>
  <si>
    <r>
      <rPr/>
      <t xml:space="preserve">The application shows 8 records is ordered by dept, employee name asc; include:
1. Marry - employee
</t>
    </r>
    <r>
      <rPr>
        <rFont val="Arial"/>
        <color rgb="FF2F5496"/>
        <sz val="10.0"/>
      </rPr>
      <t>Id:1234: 
Name: Marry
Job Title: Sale staff
Status: Pre employee
Type: full-time probation
Department: Delivery room
Supervisor: johnson1235
join date: 01/01/2018</t>
    </r>
    <r>
      <rPr>
        <rFont val="Arial"/>
        <sz val="10.0"/>
      </rPr>
      <t xml:space="preserve">
2. Johnson - leader
</t>
    </r>
    <r>
      <rPr>
        <rFont val="Arial"/>
        <color rgb="FF2F5496"/>
        <sz val="10.0"/>
      </rPr>
      <t xml:space="preserve">ID: 1235
Name: Johnson
Job title: Marketing 
Status: Working
Type: full-time contract
Dept: Sale room
Supervisor: manager2
join date: </t>
    </r>
    <r>
      <rPr>
        <rFont val="Arial"/>
        <sz val="10.0"/>
      </rPr>
      <t xml:space="preserve">
3. leader1
</t>
    </r>
    <r>
      <rPr>
        <rFont val="Arial"/>
        <color rgb="FF2F5496"/>
        <sz val="10.0"/>
      </rPr>
      <t>ID: 1237
Name: leader1
Job title: Delivery leader
Status: working
Type: Full-time contract
Dept: Delivery room
Supervisor: manager1
join date:</t>
    </r>
    <r>
      <rPr>
        <rFont val="Arial"/>
        <sz val="10.0"/>
      </rPr>
      <t xml:space="preserve">
4. Manager1
</t>
    </r>
    <r>
      <rPr>
        <rFont val="Arial"/>
        <color rgb="FF2F5496"/>
        <sz val="10.0"/>
      </rPr>
      <t>ID: 1238
Name: Manager1
Job title: manager 
Status: working
Type:  full-time Permanent
Dept: Delivery room 
Supervisor:
join date:</t>
    </r>
    <r>
      <rPr>
        <rFont val="Arial"/>
        <sz val="10.0"/>
      </rPr>
      <t xml:space="preserve">
5. hr
</t>
    </r>
    <r>
      <rPr>
        <rFont val="Arial"/>
        <color rgb="FF2F5496"/>
        <sz val="10.0"/>
      </rPr>
      <t>ID: 1239
Name: hr
Jobtitle: HR staff
Status: working
Type: Full-time contract
Dept: HR room
Supervisor:
join date:</t>
    </r>
    <r>
      <rPr>
        <rFont val="Arial"/>
        <sz val="10.0"/>
      </rPr>
      <t xml:space="preserve">
6. Trainer
</t>
    </r>
    <r>
      <rPr>
        <rFont val="Arial"/>
        <color rgb="FF2F5496"/>
        <sz val="10.0"/>
      </rPr>
      <t>ID: 1240
Employee Name: trainer
Department: Training room
Job title: trainer
Status: Working
Type: full-time contract
Supervisor:
join date:</t>
    </r>
    <r>
      <rPr>
        <rFont val="Arial"/>
        <sz val="10.0"/>
      </rPr>
      <t xml:space="preserve">
7. employee
</t>
    </r>
    <r>
      <rPr>
        <rFont val="Arial"/>
        <color rgb="FF2F5496"/>
        <sz val="10.0"/>
      </rPr>
      <t>Username: emp1241
Employee Name: employee
Department: Sale
Job title: Marketing 
Status: working
Type: part -time contract
Status: working
Supervisor: leader1
join date:</t>
    </r>
    <r>
      <rPr>
        <rFont val="Arial"/>
        <sz val="10.0"/>
      </rPr>
      <t xml:space="preserve">
8. Manager2
</t>
    </r>
    <r>
      <rPr>
        <rFont val="Arial"/>
        <color rgb="FF2F5496"/>
        <sz val="10.0"/>
      </rPr>
      <t>Id:1242
Name: manager2
Department: Sale
Job title: Sale Manager
Status: Working
Type:  full-time Permanent
Supervisor:
join date:</t>
    </r>
  </si>
  <si>
    <t>Search employee</t>
  </si>
  <si>
    <t>Verify that the user can search employee info</t>
  </si>
  <si>
    <r>
      <rPr/>
      <t xml:space="preserve">1. Go to Employee
2. Click Employee list
2. Input serach condition
</t>
    </r>
    <r>
      <rPr>
        <rFont val="Arial"/>
        <i/>
        <color rgb="FF2F5496"/>
        <sz val="10.0"/>
      </rPr>
      <t>Name: ma
Department: Delivery room</t>
    </r>
    <r>
      <rPr>
        <rFont val="Arial"/>
        <sz val="10.0"/>
      </rPr>
      <t xml:space="preserve">
3. Click Search
</t>
    </r>
  </si>
  <si>
    <t xml:space="preserve">Web </t>
  </si>
  <si>
    <t>Edit profile</t>
  </si>
  <si>
    <t>Login on web with HR  role
user: hr
pass: default</t>
  </si>
  <si>
    <t>Verify that the user can edit profile of an employee</t>
  </si>
  <si>
    <t xml:space="preserve">1. Go to "Employee"
2. Click "Employee list"
3. Click edit at record is marry
</t>
  </si>
  <si>
    <r>
      <rPr/>
      <t xml:space="preserve">The application shows edit screen with some available info at Personal tab
</t>
    </r>
    <r>
      <rPr>
        <rFont val="Arial"/>
        <i/>
        <color rgb="FF2F5496"/>
        <sz val="10.0"/>
      </rPr>
      <t>- Id:1234
- Name: Marry
- Department: Delivery room
- Position: sale staff
- Email: marry@gmail.com
- Phone: 0425102870
- Status: Pre employee</t>
    </r>
    <r>
      <rPr>
        <rFont val="Arial"/>
        <sz val="10.0"/>
      </rPr>
      <t xml:space="preserve">
Others info is blanked</t>
    </r>
  </si>
  <si>
    <r>
      <rPr/>
      <t xml:space="preserve">4. Input value on all fields
</t>
    </r>
    <r>
      <rPr>
        <rFont val="Arial"/>
        <i/>
        <color rgb="FF2F5496"/>
        <sz val="10.0"/>
      </rPr>
      <t xml:space="preserve">Address: Tokyo
DoB: 19/01/1992
Place of birth: osaka 
Identify card: 191762674
Nationaly: japan
Blood type: B
Member of: johnson
marrital status: single
Relationship
Name A: 
Relationship: father
Address: osaka
job: Famer
Name B: 
Relationship: mother
Address: osaka
job: Famer
Education level
Time: 2014-2017
Study/Certification: economic college students tokyo
Fied: business management
Degree: Good
Note: point 3.5/4
</t>
    </r>
    <r>
      <rPr>
        <rFont val="Arial"/>
        <sz val="10.0"/>
      </rPr>
      <t>6. Change status= working</t>
    </r>
    <r>
      <rPr>
        <rFont val="Arial"/>
        <i/>
        <color rgb="FF2F5496"/>
        <sz val="10.0"/>
      </rPr>
      <t xml:space="preserve">
</t>
    </r>
    <r>
      <rPr>
        <rFont val="Arial"/>
        <sz val="10.0"/>
      </rPr>
      <t xml:space="preserve">5. Click save </t>
    </r>
  </si>
  <si>
    <t>The info is saved successful</t>
  </si>
  <si>
    <t>View my profile</t>
  </si>
  <si>
    <t>Verify that the user can login with acc in working status</t>
  </si>
  <si>
    <t>1. Login on web with acc
username: Marry1234
pass: default</t>
  </si>
  <si>
    <t>Login success with employee  role</t>
  </si>
  <si>
    <t>1. Login on mobile with acc
username: Marry1234
pass: default</t>
  </si>
  <si>
    <t>Login with acc
user: marry1234
pass:default</t>
  </si>
  <si>
    <t>Verify that the user can view yourseft profile</t>
  </si>
  <si>
    <t xml:space="preserve">1. Click profile
2. </t>
  </si>
  <si>
    <r>
      <rPr/>
      <t xml:space="preserve">Your profile is displayed fully and match with info is enterd from HR
</t>
    </r>
    <r>
      <rPr>
        <rFont val="Arial"/>
        <b/>
        <sz val="10.0"/>
      </rPr>
      <t xml:space="preserve">Personal info:
</t>
    </r>
    <r>
      <rPr>
        <rFont val="Arial"/>
        <b/>
        <color rgb="FF2F5496"/>
        <sz val="10.0"/>
      </rPr>
      <t>Basic info</t>
    </r>
    <r>
      <rPr>
        <rFont val="Arial"/>
        <sz val="10.0"/>
      </rPr>
      <t xml:space="preserve">
</t>
    </r>
    <r>
      <rPr>
        <rFont val="Arial"/>
        <i/>
        <color rgb="FF2F5496"/>
        <sz val="10.0"/>
      </rPr>
      <t xml:space="preserve">Id:1234
Name: Marry
Address: Tokyo
DoB: 19/01/1992
Place of birth: osaka 
Identify card: 191762674
Nationaly: japan
Blood type: B
Marrital status: single
</t>
    </r>
    <r>
      <rPr>
        <rFont val="Arial"/>
        <b/>
        <color rgb="FF2F5496"/>
        <sz val="10.0"/>
      </rPr>
      <t>Work position</t>
    </r>
    <r>
      <rPr>
        <rFont val="Arial"/>
        <i/>
        <color rgb="FF2F5496"/>
        <sz val="10.0"/>
      </rPr>
      <t xml:space="preserve">
Department: Delivery room
Position: sale staff
Supervisor: johnson
Email: marry@gmail.com
Phone: 0425102870
Status: Working
</t>
    </r>
    <r>
      <rPr>
        <rFont val="Arial"/>
        <b/>
        <color rgb="FF2F5496"/>
        <sz val="10.0"/>
      </rPr>
      <t>Relationship</t>
    </r>
    <r>
      <rPr>
        <rFont val="Arial"/>
        <i/>
        <color rgb="FF2F5496"/>
        <sz val="10.0"/>
      </rPr>
      <t xml:space="preserve">
Name A: 
Relationship: father
Address: osaka
job: Famer
Name B: 
Relationship: mother
Address: osaka
job: Famer
</t>
    </r>
    <r>
      <rPr>
        <rFont val="Arial"/>
        <b/>
        <color rgb="FF2F5496"/>
        <sz val="10.0"/>
      </rPr>
      <t>Education level</t>
    </r>
    <r>
      <rPr>
        <rFont val="Arial"/>
        <i/>
        <color rgb="FF2F5496"/>
        <sz val="10.0"/>
      </rPr>
      <t xml:space="preserve">
Time: 2014-2017
Study/Certification: economic college students tokyo
Fied: business management
Degree: Good
Note: point 3.5/4
</t>
    </r>
    <r>
      <rPr>
        <rFont val="Arial"/>
        <sz val="10.0"/>
      </rPr>
      <t>Others tab: Job, Salary, More: no data</t>
    </r>
  </si>
  <si>
    <t xml:space="preserve">Contract </t>
  </si>
  <si>
    <t>Create contract</t>
  </si>
  <si>
    <t>Login on web with HR role
user: hr
pass: default</t>
  </si>
  <si>
    <t>Verify that the user can view list contract</t>
  </si>
  <si>
    <t xml:space="preserve">1. Go to "Contract"
</t>
  </si>
  <si>
    <t>The application shows message "No record"</t>
  </si>
  <si>
    <t>Verify that the user can create a contract in Draft status</t>
  </si>
  <si>
    <r>
      <rPr/>
      <t xml:space="preserve">1. Go to "Contract"
2. Click "Create"
3. Input data
</t>
    </r>
    <r>
      <rPr>
        <rFont val="Arial"/>
        <i/>
        <color rgb="FF2F5496"/>
        <sz val="10.0"/>
      </rPr>
      <t>ContactNo: HD01
Type: Full-time probation
Start: 01/01/2018
End: 28/02/2018
Emp Name: marry
Code: 1234
Job title: sale staff
Salary: 800$</t>
    </r>
    <r>
      <rPr>
        <rFont val="Arial"/>
        <sz val="10.0"/>
      </rPr>
      <t xml:space="preserve">
4. attach file contract
</t>
    </r>
    <r>
      <rPr>
        <rFont val="Arial"/>
        <i/>
        <color rgb="FF2F5496"/>
        <sz val="10.0"/>
      </rPr>
      <t>28112017_1234_marry_contract_docx</t>
    </r>
    <r>
      <rPr>
        <rFont val="Arial"/>
        <sz val="10.0"/>
      </rPr>
      <t xml:space="preserve">
5. Choose approver 
</t>
    </r>
    <r>
      <rPr>
        <rFont val="Arial"/>
        <i/>
        <color rgb="FF2F5496"/>
        <sz val="10.0"/>
      </rPr>
      <t xml:space="preserve">Manger1
</t>
    </r>
    <r>
      <rPr>
        <rFont val="Arial"/>
        <sz val="10.0"/>
      </rPr>
      <t xml:space="preserve">6. Click save
</t>
    </r>
  </si>
  <si>
    <r>
      <rPr/>
      <t xml:space="preserve">The contract list of HR role has one record is created
</t>
    </r>
    <r>
      <rPr>
        <rFont val="Arial"/>
        <i/>
        <color rgb="FF2F5496"/>
        <sz val="10.0"/>
      </rPr>
      <t>Full name: Marry
Start date: 01/01/2018
End date: 28/02/2018
Position: Sale staff
Type: full-time probation
Signed By:
Signed date
Status: Draft
No: HD01
Attachment: yes</t>
    </r>
    <r>
      <rPr>
        <rFont val="Arial"/>
        <sz val="10.0"/>
      </rPr>
      <t xml:space="preserve">
Action: delete, edit is enabled 
The contract list has one record: marry</t>
    </r>
  </si>
  <si>
    <t>Edit contract</t>
  </si>
  <si>
    <t>Verify that the user can edit a contract in Draft status</t>
  </si>
  <si>
    <r>
      <rPr/>
      <t xml:space="preserve">1. Go to "Contract"
2. Click edit at first record (marry)
3. Edit data
</t>
    </r>
    <r>
      <rPr>
        <rFont val="Arial"/>
        <i/>
        <color rgb="FF2F5496"/>
        <sz val="10.0"/>
      </rPr>
      <t>ContactNo: HD01
Type: Full-time probation
Start: 01/01/2018
End: 31/03/2018
Emp Name: marry
Code: 1234
Job title: sale staff
Salary: 900$</t>
    </r>
    <r>
      <rPr>
        <rFont val="Arial"/>
        <sz val="10.0"/>
      </rPr>
      <t xml:space="preserve">
4. attach file contract
</t>
    </r>
    <r>
      <rPr>
        <rFont val="Arial"/>
        <i/>
        <color rgb="FF2F5496"/>
        <sz val="10.0"/>
      </rPr>
      <t>01012018_1234_marry_contract_docx</t>
    </r>
    <r>
      <rPr>
        <rFont val="Arial"/>
        <sz val="10.0"/>
      </rPr>
      <t xml:space="preserve">
5. Choose approver 
</t>
    </r>
    <r>
      <rPr>
        <rFont val="Arial"/>
        <i/>
        <color rgb="FF2F5496"/>
        <sz val="10.0"/>
      </rPr>
      <t xml:space="preserve">Manger1
</t>
    </r>
    <r>
      <rPr>
        <rFont val="Arial"/>
        <sz val="10.0"/>
      </rPr>
      <t xml:space="preserve">6. Click save
</t>
    </r>
  </si>
  <si>
    <r>
      <rPr/>
      <t xml:space="preserve">The contract list of HR has one record is updated. Detail:
</t>
    </r>
    <r>
      <rPr>
        <rFont val="Arial"/>
        <i/>
        <color rgb="FF2F5496"/>
        <sz val="10.0"/>
      </rPr>
      <t>Full name: Marry
Start date: 01/01/2018
End date: 31/03/2018
Position: Sale staff
Type: full-time probation
Signed By:
Signed date
Status: Draft
No: HD01
Attachment: yes</t>
    </r>
    <r>
      <rPr>
        <rFont val="Arial"/>
        <sz val="10.0"/>
      </rPr>
      <t xml:space="preserve">
Action: delete, edit is enabled</t>
    </r>
  </si>
  <si>
    <t>Download attachment from contract list</t>
  </si>
  <si>
    <t>Verify that the user can download attachment from contract list</t>
  </si>
  <si>
    <t>1. Go to"Contract"
2. Click icon download attachment in list
3. Open file</t>
  </si>
  <si>
    <r>
      <rPr/>
      <t xml:space="preserve">2. Download successful  attach file to your computer
</t>
    </r>
    <r>
      <rPr>
        <rFont val="Arial"/>
        <i/>
        <color rgb="FF2F5496"/>
        <sz val="10.0"/>
      </rPr>
      <t>01012018_1234_marry_contract_docx</t>
    </r>
    <r>
      <rPr>
        <rFont val="Arial"/>
        <sz val="10.0"/>
      </rPr>
      <t xml:space="preserve">
3. Open file successful and the file contents are correct and complete as attachments</t>
    </r>
  </si>
  <si>
    <t>View contract</t>
  </si>
  <si>
    <t>Verify that the user can view a contract detail</t>
  </si>
  <si>
    <t xml:space="preserve">1. Go to "Contract"
2. Click view at first record (marry)
3. Check data display
</t>
  </si>
  <si>
    <r>
      <rPr/>
      <t xml:space="preserve">Detail info is displayed:
</t>
    </r>
    <r>
      <rPr>
        <rFont val="Arial"/>
        <i/>
        <color rgb="FF2F5496"/>
        <sz val="10.0"/>
      </rPr>
      <t>ContactNo: HD01
Type: Full-time probation
Start: 01/01/2018
End: 31/03/2018
Emp Name: marry
Code: 1234
Job title: sale staff
Salary: 900$
attach file contract: 28112017_1234_marry_contract_docx
approver: Manger1</t>
    </r>
    <r>
      <rPr>
        <rFont val="Arial"/>
        <sz val="10.0"/>
      </rPr>
      <t xml:space="preserve">
Action: delete, edit is enabled</t>
    </r>
  </si>
  <si>
    <t>Download attachment from view detail screen</t>
  </si>
  <si>
    <t>1. Go to"Contract"
2. Click view at first record (marry)
3. Click download icon at attachment group
4. Open file</t>
  </si>
  <si>
    <t>3. Download successful  attach file to your computer
4. Open file successful and the file contents are correct and complete as attachments</t>
  </si>
  <si>
    <t>Delete contract</t>
  </si>
  <si>
    <t xml:space="preserve">Verify that the user can delete a contract </t>
  </si>
  <si>
    <t>1. Go to "Contract"
2. Click delete at first record (marry)
3. Click No</t>
  </si>
  <si>
    <t>2. The application shows confirm popup
3. The confirm popup is closed a record isn’t removed</t>
  </si>
  <si>
    <t>4. Click Yes</t>
  </si>
  <si>
    <t>4. Close popup
A record disappears from list
The contract list displays " No record"</t>
  </si>
  <si>
    <t xml:space="preserve">Create and send the contract to manager </t>
  </si>
  <si>
    <t>verify that the user can create and sent the contract to manager</t>
  </si>
  <si>
    <r>
      <rPr/>
      <t xml:space="preserve">1. Go to "Contract"
2. Click Create
3. Input data
</t>
    </r>
    <r>
      <rPr>
        <rFont val="Arial"/>
        <i/>
        <color rgb="FF2F5496"/>
        <sz val="10.0"/>
      </rPr>
      <t>ContactNo: HD01
Type: Full-time probation
Start: 01/01/2018
End: 31/03/2018
Emp Name: Marry
Code: 1234
Job title: sale staff
Salary: 900$</t>
    </r>
    <r>
      <rPr>
        <rFont val="Arial"/>
        <sz val="10.0"/>
      </rPr>
      <t xml:space="preserve">
4. attach file contract
</t>
    </r>
    <r>
      <rPr>
        <rFont val="Arial"/>
        <i/>
        <color rgb="FF2F5496"/>
        <sz val="10.0"/>
      </rPr>
      <t>28112017_1234_marry_contract_docx</t>
    </r>
    <r>
      <rPr>
        <rFont val="Arial"/>
        <sz val="10.0"/>
      </rPr>
      <t xml:space="preserve">
5. Choose approver 
</t>
    </r>
    <r>
      <rPr>
        <rFont val="Arial"/>
        <i/>
        <color rgb="FF2F5496"/>
        <sz val="10.0"/>
      </rPr>
      <t xml:space="preserve">Manger1
</t>
    </r>
    <r>
      <rPr>
        <rFont val="Arial"/>
        <sz val="10.0"/>
      </rPr>
      <t xml:space="preserve">6. Click save and send
</t>
    </r>
  </si>
  <si>
    <r>
      <rPr/>
      <t xml:space="preserve">The contract list of HR role has one record is created
</t>
    </r>
    <r>
      <rPr>
        <rFont val="Arial"/>
        <i/>
        <color rgb="FF2F5496"/>
        <sz val="10.0"/>
      </rPr>
      <t>Full name: Marry
Start date: 01/01/2018
End date: 31/03/2018
Position: Sale staff
Type: full-time probation
Signed By:
Signed date
Status: Pending approval
No: HD01
Attachment: yes</t>
    </r>
    <r>
      <rPr>
        <rFont val="Arial"/>
        <sz val="10.0"/>
      </rPr>
      <t xml:space="preserve">
Action: delete, edit is enabled
The contract list has one record: Marry</t>
    </r>
  </si>
  <si>
    <t>Send the contract from the contract list</t>
  </si>
  <si>
    <t xml:space="preserve">Verify that the user can send the contract in draft status to manager </t>
  </si>
  <si>
    <r>
      <rPr/>
      <t xml:space="preserve">1. Go to "Contract"
2. Click Create
3. Input data
</t>
    </r>
    <r>
      <rPr>
        <rFont val="Arial"/>
        <i/>
        <color rgb="FF2F5496"/>
        <sz val="10.0"/>
      </rPr>
      <t>ContactNo: HD02
Type: Part-time contract
Start: 01/01/2018
End: 30/06/2018
Emp Name: employee
Code: 1241
Job title: marketing
Salary: 900$</t>
    </r>
    <r>
      <rPr>
        <rFont val="Arial"/>
        <sz val="10.0"/>
      </rPr>
      <t xml:space="preserve">
4. Attach file contract: No
5. Choose approver 
</t>
    </r>
    <r>
      <rPr>
        <rFont val="Arial"/>
        <i/>
        <color rgb="FF2F5496"/>
        <sz val="10.0"/>
      </rPr>
      <t xml:space="preserve">Manager2
</t>
    </r>
    <r>
      <rPr>
        <rFont val="Arial"/>
        <sz val="10.0"/>
      </rPr>
      <t xml:space="preserve">6. Click save
</t>
    </r>
  </si>
  <si>
    <r>
      <rPr/>
      <t xml:space="preserve">6. The list of contract will add a record with info:
</t>
    </r>
    <r>
      <rPr>
        <rFont val="Arial"/>
        <i/>
        <color rgb="FF2F5496"/>
        <sz val="10.0"/>
      </rPr>
      <t xml:space="preserve">Full name: employee
Start date: 01/01/2018
End date: 30/06/2018
Position: marketing
Type: part-ime contract
Signed By:
Signed date:
Status: Draft
No: HD02
Attachment: no
</t>
    </r>
    <r>
      <rPr>
        <rFont val="Arial"/>
        <sz val="10.0"/>
      </rPr>
      <t>The contract list has two records: marry, employee</t>
    </r>
  </si>
  <si>
    <t>7. In list, click send
8. Click No</t>
  </si>
  <si>
    <t>8. The confirm popup is closed the contract status isn't changed</t>
  </si>
  <si>
    <t>9. Click yes</t>
  </si>
  <si>
    <t>9. In contract list of HR, this record is changed from draft to pending approval status</t>
  </si>
  <si>
    <t>Create multi contract for an emplopyee</t>
  </si>
  <si>
    <t>Verify that the user can create multi contract for each employee</t>
  </si>
  <si>
    <r>
      <rPr/>
      <t xml:space="preserve">1. Go to contract
2. Click create
3. Input data
</t>
    </r>
    <r>
      <rPr>
        <rFont val="Arial"/>
        <i/>
        <color rgb="FF2F5496"/>
        <sz val="10.0"/>
      </rPr>
      <t>ContactNo: HD03
Type: Full-time contract
Start: 01/01/2014
End: 31/12/2014
Emp Name: Mananger1
Code: 1239
Job title: Sale
Salary: 1900$</t>
    </r>
    <r>
      <rPr>
        <rFont val="Arial"/>
        <sz val="10.0"/>
      </rPr>
      <t xml:space="preserve">
4. Attach file contract: 
</t>
    </r>
    <r>
      <rPr>
        <rFont val="Arial"/>
        <i/>
        <color rgb="FF2F5496"/>
        <sz val="10.0"/>
      </rPr>
      <t>01012014_1239_manager1_contract.docx</t>
    </r>
    <r>
      <rPr>
        <rFont val="Arial"/>
        <sz val="10.0"/>
      </rPr>
      <t xml:space="preserve">
5. Choose approver 
</t>
    </r>
    <r>
      <rPr>
        <rFont val="Arial"/>
        <i/>
        <color rgb="FF2F5496"/>
        <sz val="10.0"/>
      </rPr>
      <t>Manager1</t>
    </r>
    <r>
      <rPr>
        <rFont val="Arial"/>
        <sz val="10.0"/>
      </rPr>
      <t xml:space="preserve">
6. Click save and send
</t>
    </r>
  </si>
  <si>
    <r>
      <rPr/>
      <t xml:space="preserve">The list of contract will add a record with info:
</t>
    </r>
    <r>
      <rPr>
        <rFont val="Arial"/>
        <i/>
        <color rgb="FF2F5496"/>
        <sz val="10.0"/>
      </rPr>
      <t xml:space="preserve">Full name: mananger1
Start date: 01/01/2014
End date: 31/12/2014
Position: Sale
Type: full-time contract
Signed By:
Signed date:
Status: Pending approval
No: HD03
Attachment: Yes
</t>
    </r>
    <r>
      <rPr>
        <rFont val="Arial"/>
        <sz val="10.0"/>
      </rPr>
      <t>The contract list has three records: marry, employee, manager1</t>
    </r>
  </si>
  <si>
    <r>
      <rPr/>
      <t xml:space="preserve">7. Repeat step from 1 to 6 but other info:
</t>
    </r>
    <r>
      <rPr>
        <rFont val="Arial"/>
        <i/>
        <color rgb="FF2F5496"/>
        <sz val="10.0"/>
      </rPr>
      <t>ContactNo: HD04
Type: Mid-term contract
Start: 01/01/2015
End: 31/12/2017
Emp Name: Mananger1
Code: 1239
Job title: Delivery leader 
Salary: 2000$</t>
    </r>
    <r>
      <rPr>
        <rFont val="Arial"/>
        <sz val="10.0"/>
      </rPr>
      <t xml:space="preserve">
-. Attach file contract: 
</t>
    </r>
    <r>
      <rPr>
        <rFont val="Arial"/>
        <i/>
        <color rgb="FF2F5496"/>
        <sz val="10.0"/>
      </rPr>
      <t>01012015_1239_manager1_contract.docx</t>
    </r>
    <r>
      <rPr>
        <rFont val="Arial"/>
        <sz val="10.0"/>
      </rPr>
      <t xml:space="preserve">
-. Choose approver 
</t>
    </r>
    <r>
      <rPr>
        <rFont val="Arial"/>
        <i/>
        <color rgb="FF2F5496"/>
        <sz val="10.0"/>
      </rPr>
      <t>Manager1</t>
    </r>
    <r>
      <rPr>
        <rFont val="Arial"/>
        <sz val="10.0"/>
      </rPr>
      <t xml:space="preserve">
- Click save and send</t>
    </r>
  </si>
  <si>
    <r>
      <rPr/>
      <t xml:space="preserve">The list of contract will add a record with info:
</t>
    </r>
    <r>
      <rPr>
        <rFont val="Arial"/>
        <i/>
        <color rgb="FF2F5496"/>
        <sz val="10.0"/>
      </rPr>
      <t xml:space="preserve">Full name: mananger1
Start date: 01/01/2015
End date: 31/12/2017
Position: Delivery leader 
Type: Mid-term contract
Signed By:
Signed date:
Status: Pending approval
No: HD04
Attachment: Yes
</t>
    </r>
    <r>
      <rPr>
        <rFont val="Arial"/>
        <sz val="10.0"/>
      </rPr>
      <t xml:space="preserve">The contract list has three records: marry, employee, manager1
The manager1 will display the latest contract information (Mid-term contract)
</t>
    </r>
  </si>
  <si>
    <r>
      <rPr/>
      <t xml:space="preserve">8. Repeat step from 1 to 6 but other info:
</t>
    </r>
    <r>
      <rPr>
        <rFont val="Arial"/>
        <i/>
        <color rgb="FF2F5496"/>
        <sz val="10.0"/>
      </rPr>
      <t>ContactNo: HD05
Type: Full time permanent
Start: 01/01/2018
End: 
Emp Name: Mananger1
Code: 1239
Job title: Mananger
Salary: 2200$</t>
    </r>
    <r>
      <rPr>
        <rFont val="Arial"/>
        <sz val="10.0"/>
      </rPr>
      <t xml:space="preserve">
-. Attach file contract: 
</t>
    </r>
    <r>
      <rPr>
        <rFont val="Arial"/>
        <i/>
        <color rgb="FF2F5496"/>
        <sz val="10.0"/>
      </rPr>
      <t>01012018_1239_manager1_contract.docx</t>
    </r>
    <r>
      <rPr>
        <rFont val="Arial"/>
        <sz val="10.0"/>
      </rPr>
      <t xml:space="preserve">
-. Choose approver 
</t>
    </r>
    <r>
      <rPr>
        <rFont val="Arial"/>
        <i/>
        <color rgb="FF2F5496"/>
        <sz val="10.0"/>
      </rPr>
      <t>Manager1</t>
    </r>
    <r>
      <rPr>
        <rFont val="Arial"/>
        <sz val="10.0"/>
      </rPr>
      <t xml:space="preserve">
- Click save and send</t>
    </r>
  </si>
  <si>
    <r>
      <rPr/>
      <t xml:space="preserve">The list of contract will add a record with info:
</t>
    </r>
    <r>
      <rPr>
        <rFont val="Arial"/>
        <i/>
        <color rgb="FF2F5496"/>
        <sz val="10.0"/>
      </rPr>
      <t xml:space="preserve">Full name: mananger1
Start: 01/01/2018
End date:
Position: Manager
Type: Full time permanent
Signed By:
Signed date:
Status: Pending approval
No: HD05
Attachment: Yes
</t>
    </r>
    <r>
      <rPr>
        <rFont val="Arial"/>
        <color rgb="FF000000"/>
        <sz val="10.0"/>
      </rPr>
      <t>The contract list has three records: marry, employee, manager1
The manager1 will display the latest contract information ( Full time permanent)</t>
    </r>
  </si>
  <si>
    <t xml:space="preserve">View the contract  history </t>
  </si>
  <si>
    <r>
      <rPr/>
      <t xml:space="preserve">1. Go to Contract
2. Click view detail in the first record </t>
    </r>
    <r>
      <rPr>
        <rFont val="Arial"/>
        <i/>
        <color rgb="FF2F5496"/>
        <sz val="10.0"/>
      </rPr>
      <t xml:space="preserve">(manager1/ HD05)
</t>
    </r>
    <r>
      <rPr>
        <rFont val="Arial"/>
        <color rgb="FF000000"/>
        <sz val="10.0"/>
      </rPr>
      <t>3. Click View history</t>
    </r>
    <r>
      <rPr>
        <rFont val="Arial"/>
        <sz val="10.0"/>
      </rPr>
      <t xml:space="preserve">
</t>
    </r>
  </si>
  <si>
    <r>
      <rPr/>
      <t xml:space="preserve">2, The application shows info detail of contract No: HD05
3. The application shows 2 old contracts HD04, HD03 
The list of contract is ordered by Created Date
Each contract is a record
First record
</t>
    </r>
    <r>
      <rPr>
        <rFont val="Arial"/>
        <i/>
        <color rgb="FF2F5496"/>
        <sz val="10.0"/>
      </rPr>
      <t xml:space="preserve">Full name: mananger1
Start date: 01/01/2015
End date: 31/12/2017
Position: Delivery leader 
Type: Mid-term contract
Signed By:
Signed date:
Status: Pending approval
No: HD04
Attachment: Yes
Mid-term contract
</t>
    </r>
    <r>
      <rPr>
        <rFont val="Arial"/>
        <color rgb="FF000000"/>
        <sz val="10.0"/>
      </rPr>
      <t>Second Record</t>
    </r>
    <r>
      <rPr>
        <rFont val="Arial"/>
        <i/>
        <color rgb="FF2F5496"/>
        <sz val="10.0"/>
      </rPr>
      <t xml:space="preserve">
Full name: mananger1
Start date: 01/01/2014
End date: 31/12/2014
Position: Sale
Type: full-time contract
Signed By:
Signed date:
Status: Pending approval
No: HD03
Attachment: Yes </t>
    </r>
  </si>
  <si>
    <t>Download attach file from contract history screen</t>
  </si>
  <si>
    <t>Verify that the user can donwload attach file of each contract</t>
  </si>
  <si>
    <t>4. Click download attachment in first record (HD04)</t>
  </si>
  <si>
    <r>
      <rPr/>
      <t xml:space="preserve">3. Download successful  attach file to your computer
</t>
    </r>
    <r>
      <rPr>
        <rFont val="Arial"/>
        <i/>
        <color rgb="FF2F5496"/>
        <sz val="10.0"/>
      </rPr>
      <t>01012015_1239_manager1_contract.docx</t>
    </r>
    <r>
      <rPr>
        <rFont val="Arial"/>
        <sz val="10.0"/>
      </rPr>
      <t xml:space="preserve">
4. Open file successful and the file contents are correct and complete as attachments</t>
    </r>
  </si>
  <si>
    <t xml:space="preserve">View the list of contract </t>
  </si>
  <si>
    <t>Login on web with Manager role
user: manager11238
pass: default</t>
  </si>
  <si>
    <t>Verify that the user can view contract list need process</t>
  </si>
  <si>
    <t xml:space="preserve">1. Go to "Contract"
2. Click Approval
</t>
  </si>
  <si>
    <t xml:space="preserve">The application shows 4 records in pending approval status:
1. HD01
2. HD03
3. HD04
4. HD05
Only shows contracts is sent mananger1
</t>
  </si>
  <si>
    <t>Search the contract</t>
  </si>
  <si>
    <t xml:space="preserve">Verify that the user can search the contract </t>
  </si>
  <si>
    <t>1. Go to "Contract"
2. Click Approval
3. Input search condition</t>
  </si>
  <si>
    <t>The application shows only records that match search conditions</t>
  </si>
  <si>
    <t>Approved the contract</t>
  </si>
  <si>
    <t>Verify that the user can approve the contract</t>
  </si>
  <si>
    <r>
      <rPr/>
      <t xml:space="preserve">1. Go to "Contract"
2. Click Approval
3. Click Approve at first record
</t>
    </r>
    <r>
      <rPr>
        <rFont val="Arial"/>
        <i/>
        <color rgb="FF2F5496"/>
        <sz val="10.0"/>
      </rPr>
      <t xml:space="preserve">HD01
</t>
    </r>
    <r>
      <rPr>
        <rFont val="Arial"/>
        <color rgb="FF000000"/>
        <sz val="10.0"/>
      </rPr>
      <t>4. Click No</t>
    </r>
  </si>
  <si>
    <t>3. The application shows confirm popup
4. The confirm popup is closed the contract isn't changed status</t>
  </si>
  <si>
    <t>5. The confirm popup is closed the status contract is changed from Pending approval to Open
The contract is removed from the Pending tab and is passed the Approved tab</t>
  </si>
  <si>
    <t>Reject  the contract</t>
  </si>
  <si>
    <t>Login on web with Manager role
user: manager21242
pass: default</t>
  </si>
  <si>
    <t>Verify that the user can reject  the contract</t>
  </si>
  <si>
    <r>
      <rPr/>
      <t xml:space="preserve">1. Go to "Contract"
2. Click Approval
3. Click Reject at first record
</t>
    </r>
    <r>
      <rPr>
        <rFont val="Arial"/>
        <i/>
        <color rgb="FF2F5496"/>
        <sz val="10.0"/>
      </rPr>
      <t xml:space="preserve">HD02
</t>
    </r>
    <r>
      <rPr>
        <rFont val="Arial"/>
        <color rgb="FF000000"/>
        <sz val="10.0"/>
      </rPr>
      <t xml:space="preserve">4. Enter Reject reason
</t>
    </r>
    <r>
      <rPr>
        <rFont val="Arial"/>
        <i/>
        <color rgb="FF2F5496"/>
        <sz val="10.0"/>
      </rPr>
      <t xml:space="preserve">Reject reason </t>
    </r>
    <r>
      <rPr>
        <rFont val="Arial"/>
        <color rgb="FF000000"/>
        <sz val="10.0"/>
      </rPr>
      <t xml:space="preserve">
5. Click Cancel</t>
    </r>
  </si>
  <si>
    <t>2. The application shows one record: HD02
5. The confirm popup is closed the contract isn't changed status</t>
  </si>
  <si>
    <t>6. Click send</t>
  </si>
  <si>
    <t>6. The confirm popup is closed the status contract is changed from Pending approval to Rejected
The contract is removed from the Pending tab and is passed the Rejected tab and display "Reject reason " in comment column</t>
  </si>
  <si>
    <t>View the list of contract</t>
  </si>
  <si>
    <t>Verify that the user can view the list of contract of employee</t>
  </si>
  <si>
    <t xml:space="preserve">1. Go to "Contract"
</t>
  </si>
  <si>
    <r>
      <rPr/>
      <t xml:space="preserve">The application shows 3 records
1. HD01: Approved
</t>
    </r>
    <r>
      <rPr>
        <rFont val="Arial"/>
        <i/>
        <color rgb="FF2F5496"/>
        <sz val="10.0"/>
      </rPr>
      <t>Full name: Marry
Start date: 01/01/2018
End date: 31/03/2018
Position: Sale staff
Type: full-time probation
Signed By: Manager1
Signed date: approved date
Status:  Open
No: HD01
Attachment: yes</t>
    </r>
    <r>
      <rPr>
        <rFont val="Arial"/>
        <sz val="10.0"/>
      </rPr>
      <t xml:space="preserve">
2. HD02: Rejected, attach with reject reason
</t>
    </r>
    <r>
      <rPr>
        <rFont val="Arial"/>
        <i/>
        <color rgb="FF2F5496"/>
        <sz val="10.0"/>
      </rPr>
      <t>Full name: employee
Start date: 01/01/2018
End date: 30/06/2018
Position: marketing
Type: part-ime contract
Signed By: Manager 2
Signed date: rejected date
Status: Rejected
Comment: Reject reason
No: HD02
Attachment: no</t>
    </r>
    <r>
      <rPr>
        <rFont val="Arial"/>
        <sz val="10.0"/>
      </rPr>
      <t xml:space="preserve">
3. HD03: Pending approval
</t>
    </r>
    <r>
      <rPr>
        <rFont val="Arial"/>
        <i/>
        <color rgb="FF2F5496"/>
        <sz val="10.0"/>
      </rPr>
      <t>Full name: mananger1
Start: 01/01/2018
End date:
Position: Manager
Type: Full time permanent
Signed By:
Signed date:
Status: Pending approval
No: HD05
Attachment: Yes</t>
    </r>
    <r>
      <rPr>
        <rFont val="Arial"/>
        <sz val="10.0"/>
      </rPr>
      <t xml:space="preserve">
</t>
    </r>
  </si>
  <si>
    <t xml:space="preserve">View my contract info </t>
  </si>
  <si>
    <t>Login on web with employee role
user: marry1234
pass: default</t>
  </si>
  <si>
    <t>verify that the user can view my contract list</t>
  </si>
  <si>
    <t>1. Go to Profile
2. Click Contract tab</t>
  </si>
  <si>
    <t>The application shows only record is HD01 is approved
Only show approved contracts</t>
  </si>
  <si>
    <t>Login on web with employee role
user: emp1241
pass: default</t>
  </si>
  <si>
    <t>The application shows message :"No record"</t>
  </si>
  <si>
    <t>Login on web with employee role
user: manager11238
pass: default</t>
  </si>
  <si>
    <t>Approve the contract</t>
  </si>
  <si>
    <t>verify that the user can approve many contract</t>
  </si>
  <si>
    <t>1. The manager approval of each contract  from HD03 to HD05</t>
  </si>
  <si>
    <t xml:space="preserve">The contract list of manager, pending approval tab display "No record"
Approved tab has 4 records: HD01, HD03, HD04, HD05
Rejected  tab has display "No record"
</t>
  </si>
  <si>
    <t>View contract list</t>
  </si>
  <si>
    <t>Verify that the user can view contract list</t>
  </si>
  <si>
    <t>1. Go to Contract</t>
  </si>
  <si>
    <r>
      <rPr/>
      <t xml:space="preserve">In the contract lits of HR, the application shows 3 records
1. HD01: Approved
</t>
    </r>
    <r>
      <rPr>
        <rFont val="Arial"/>
        <i/>
        <color rgb="FF2F5496"/>
        <sz val="10.0"/>
      </rPr>
      <t>Full name: Marry
Start date: 01/01/2018
End date: 31/03/2018
Position: Sale staff
Type: full-time probation
Signed By: Manager1
Signed date: approved date= currentDate
Status:  Open
No: HD01</t>
    </r>
    <r>
      <rPr>
        <rFont val="Arial"/>
        <sz val="10.0"/>
      </rPr>
      <t xml:space="preserve">
Attachment: yes
2. HD02: Rejected, attach with reject reason
</t>
    </r>
    <r>
      <rPr>
        <rFont val="Arial"/>
        <i/>
        <color rgb="FF2F5496"/>
        <sz val="10.0"/>
      </rPr>
      <t>Full name: employee
Start date: 01/01/2018
End date: 30/06/2018
Position: marketing
Type: part-time contract
Signed By: Manager2
Signed date: rejected date= currentDate
Status: Rejected
Comment: Reject reason
No: HD02
Attachment: no</t>
    </r>
    <r>
      <rPr>
        <rFont val="Arial"/>
        <sz val="10.0"/>
      </rPr>
      <t xml:space="preserve">
3. HD05: Approved
</t>
    </r>
    <r>
      <rPr>
        <rFont val="Arial"/>
        <i/>
        <color rgb="FF2F5496"/>
        <sz val="10.0"/>
      </rPr>
      <t>Full name: mananger1
Start: 01/01/2018
End date:
Position: Manager
Type: Full time permanent
Signed By: Manager1
Signed date: approved date= currentDate
Status: Open
No: HD05
Attachment: Yes</t>
    </r>
  </si>
  <si>
    <t>2. In the contract list, click view detail HD05
3. Click view contract history</t>
  </si>
  <si>
    <t>The application shows two records in Open status: HD03, HD04</t>
  </si>
  <si>
    <t>Verify that the user can view all contract is signed</t>
  </si>
  <si>
    <t xml:space="preserve">The application show three records
HD05: Open
HD04: Open
HD03: Open
</t>
  </si>
  <si>
    <t>End contract from contract history</t>
  </si>
  <si>
    <t>Verify that the user can end the contract from contract history</t>
  </si>
  <si>
    <r>
      <rPr/>
      <t>1. Go to Contract
2. Click view history at HD05
3. Click end action at record HD03</t>
    </r>
    <r>
      <rPr>
        <rFont val="Arial"/>
        <i/>
        <color rgb="FF2F5496"/>
        <sz val="10.0"/>
      </rPr>
      <t xml:space="preserve">
</t>
    </r>
  </si>
  <si>
    <t>2. The application shows two records in Open status: HD03, HD04
3. The contract status is changed to End</t>
  </si>
  <si>
    <t>4. Repeat  step from 1 -3 with HD04</t>
  </si>
  <si>
    <t>4. The contract status is changed to End</t>
  </si>
  <si>
    <t>Login with acc
user: manager11238
pass:default</t>
  </si>
  <si>
    <t>1. Go to contract
2. Click approval
3. Click tab Approved</t>
  </si>
  <si>
    <t>At Approved tab has two record is changed to End status is HD03, HD04
HD05 and HD01 remain status is Open</t>
  </si>
  <si>
    <t>Check permission flow</t>
  </si>
  <si>
    <t>Verify that the application shows and process data according to aprover that HR chosen</t>
  </si>
  <si>
    <r>
      <rPr/>
      <t xml:space="preserve">1. Go to contract
2. Click "Create"
3. Create contract with info
</t>
    </r>
    <r>
      <rPr>
        <rFont val="Arial"/>
        <i/>
        <color rgb="FF2F5496"/>
        <sz val="10.0"/>
      </rPr>
      <t xml:space="preserve">ContractNo: HD06
Type: Part-time contract
Start: 01/01/2018
End: 30/06/2018
Emp Name: employee
Code: 1241
Job title: marketing
Salary: 1000$
Approver: manager 2
</t>
    </r>
    <r>
      <rPr>
        <rFont val="Arial"/>
        <color rgb="FF000000"/>
        <sz val="10.0"/>
      </rPr>
      <t>4. Click Save and send</t>
    </r>
  </si>
  <si>
    <t>2. The contract list of HR add new a record : HD06</t>
  </si>
  <si>
    <t>Login on web with acc
user: manager11238
pass:default</t>
  </si>
  <si>
    <t>1. Go to contract
2. Click approval
3. Click tab Pending approval</t>
  </si>
  <si>
    <t>Display " No reacord"</t>
  </si>
  <si>
    <t>Login on web with acc
user: manager21242
pass:default</t>
  </si>
  <si>
    <t>Display one record HD06</t>
  </si>
  <si>
    <t>4. Approve contract HD06</t>
  </si>
  <si>
    <t>The status contract is Open</t>
  </si>
  <si>
    <t>Login on web with acc
user: emp1241
pass:default</t>
  </si>
  <si>
    <t>Contract list has one record
HD06: Open</t>
  </si>
  <si>
    <t>Check join date</t>
  </si>
  <si>
    <r>
      <rPr/>
      <t xml:space="preserve">Login on web with HR role
user: hr
pass: default
</t>
    </r>
    <r>
      <rPr>
        <rFont val="Arial"/>
        <b/>
        <color rgb="FF000000"/>
        <sz val="10.0"/>
      </rPr>
      <t>each employee have a information contract:</t>
    </r>
    <r>
      <rPr>
        <rFont val="Arial"/>
        <color rgb="FF000000"/>
        <sz val="10.0"/>
      </rPr>
      <t xml:space="preserve"> jonhson, leader1, manager2, hr, trainer, employee</t>
    </r>
  </si>
  <si>
    <t>Verify that  the join date in employees list is shown under the start date of the first  contract is signed</t>
  </si>
  <si>
    <t>1. Click employee
2. Click "Employees list"
3. Check joindate match with the first contract</t>
  </si>
  <si>
    <r>
      <rPr>
        <rFont val="Arial"/>
        <b/>
        <sz val="10.0"/>
      </rPr>
      <t>By default, the system will take joindate = the date of signing the first official contract. But the HR can edit joindate</t>
    </r>
    <r>
      <rPr>
        <rFont val="Arial"/>
        <sz val="10.0"/>
      </rPr>
      <t xml:space="preserve">
The application shows 8 records is ordered by dept, employee name asc; include:
1. Marry - employee
Id:1234
Name: Marry
Type: full-time probation
Supervisor: leader1
</t>
    </r>
    <r>
      <rPr>
        <rFont val="Arial"/>
        <i/>
        <color rgb="FF2F5496"/>
        <sz val="10.0"/>
      </rPr>
      <t>join date: 01/01/2018</t>
    </r>
    <r>
      <rPr>
        <rFont val="Arial"/>
        <sz val="10.0"/>
      </rPr>
      <t xml:space="preserve">
2. Johnson - leader
ID: 1235
Name: Johnson
Type: full-time contract
Supervisor: manager2
</t>
    </r>
    <r>
      <rPr>
        <rFont val="Arial"/>
        <i/>
        <color rgb="FF2F5496"/>
        <sz val="10.0"/>
      </rPr>
      <t>join date: 01/01/2017</t>
    </r>
    <r>
      <rPr>
        <rFont val="Arial"/>
        <sz val="10.0"/>
      </rPr>
      <t xml:space="preserve">
3. leader1
ID: 1237
Name: leader1
Type: full-time contract
Supervisor: manager1
</t>
    </r>
    <r>
      <rPr>
        <rFont val="Arial"/>
        <i/>
        <color rgb="FF2F5496"/>
        <sz val="10.0"/>
      </rPr>
      <t>join date: 01/01/2018</t>
    </r>
    <r>
      <rPr>
        <rFont val="Arial"/>
        <sz val="10.0"/>
      </rPr>
      <t xml:space="preserve">
4. Manager1
ID: 1238
Name: Manager1
Type: full-time permanent
</t>
    </r>
    <r>
      <rPr>
        <rFont val="Arial"/>
        <i/>
        <color rgb="FF2F5496"/>
        <sz val="10.0"/>
      </rPr>
      <t>join date: 01/01/2014</t>
    </r>
    <r>
      <rPr>
        <rFont val="Arial"/>
        <sz val="10.0"/>
      </rPr>
      <t xml:space="preserve">
5. hr
ID: 1239
Name: hr
Type: full-time contract
Supervisor:
</t>
    </r>
    <r>
      <rPr>
        <rFont val="Arial"/>
        <i/>
        <color rgb="FF2F5496"/>
        <sz val="10.0"/>
      </rPr>
      <t>join date: 01/01/2013</t>
    </r>
    <r>
      <rPr>
        <rFont val="Arial"/>
        <sz val="10.0"/>
      </rPr>
      <t xml:space="preserve">
6. Trainer
ID: 1240
Employee Name: trainer
Type: full-time contract
Supervisor:
</t>
    </r>
    <r>
      <rPr>
        <rFont val="Arial"/>
        <i/>
        <color rgb="FF2F5496"/>
        <sz val="10.0"/>
      </rPr>
      <t>join date: 01/01/2016</t>
    </r>
    <r>
      <rPr>
        <rFont val="Arial"/>
        <sz val="10.0"/>
      </rPr>
      <t xml:space="preserve">
7. employee
Username: emp1241
Employee Name: employee
Type: part-time contract
Supervisor: johnson
</t>
    </r>
    <r>
      <rPr>
        <rFont val="Arial"/>
        <i/>
        <color rgb="FF2F5496"/>
        <sz val="10.0"/>
      </rPr>
      <t>join date: 01/01/2018</t>
    </r>
    <r>
      <rPr>
        <rFont val="Arial"/>
        <sz val="10.0"/>
      </rPr>
      <t xml:space="preserve">
8. Manager2
Id:1242
Name: manager2
Type: full-time permanent
</t>
    </r>
    <r>
      <rPr>
        <rFont val="Arial"/>
        <i/>
        <color rgb="FF2F5496"/>
        <sz val="10.0"/>
      </rPr>
      <t>join date: 01/01/2012</t>
    </r>
  </si>
  <si>
    <t>Edit join date</t>
  </si>
  <si>
    <t>Verify that the user can edit joindate of each employees</t>
  </si>
  <si>
    <t xml:space="preserve">1. Click Employee
2. Click "Edit" at record
3. Edit joindate </t>
  </si>
  <si>
    <t>The info is saved successful
The info is updated of employee list and personal info of each employee</t>
  </si>
  <si>
    <t>Config allowance</t>
  </si>
  <si>
    <r>
      <rPr/>
      <t xml:space="preserve">Assume that, on the system has allowance master already exist. Detail:
</t>
    </r>
    <r>
      <rPr>
        <rFont val="Arial"/>
        <color rgb="FF2F5496"/>
        <sz val="10.0"/>
      </rPr>
      <t>Name: Lunch Allowance
amount: 400$
Is default: 1</t>
    </r>
    <r>
      <rPr>
        <rFont val="Arial"/>
        <sz val="10.0"/>
      </rPr>
      <t xml:space="preserve">
----
</t>
    </r>
    <r>
      <rPr>
        <rFont val="Arial"/>
        <color rgb="FF2F5496"/>
        <sz val="10.0"/>
      </rPr>
      <t>Name: Car Allowance 1
amount: 200$
Is default: 1</t>
    </r>
    <r>
      <rPr>
        <rFont val="Arial"/>
        <sz val="10.0"/>
      </rPr>
      <t xml:space="preserve">
----
</t>
    </r>
    <r>
      <rPr>
        <rFont val="Arial"/>
        <color rgb="FF2F5496"/>
        <sz val="10.0"/>
      </rPr>
      <t>Name: Car Allowance 2
amount: 400$
Is default: 0</t>
    </r>
    <r>
      <rPr>
        <rFont val="Arial"/>
        <sz val="10.0"/>
      </rPr>
      <t xml:space="preserve">
----
</t>
    </r>
    <r>
      <rPr>
        <rFont val="Arial"/>
        <color rgb="FF2F5496"/>
        <sz val="10.0"/>
      </rPr>
      <t>Name: Cost of Living Allowance 1
amount: 200$
Is default: 1</t>
    </r>
    <r>
      <rPr>
        <rFont val="Arial"/>
        <sz val="10.0"/>
      </rPr>
      <t xml:space="preserve">
----
</t>
    </r>
    <r>
      <rPr>
        <rFont val="Arial"/>
        <color rgb="FF2F5496"/>
        <sz val="10.0"/>
      </rPr>
      <t>Name: Cost of Living Allowance 2
amount: 300$
Is default: 0</t>
    </r>
    <r>
      <rPr>
        <rFont val="Arial"/>
        <sz val="10.0"/>
      </rPr>
      <t xml:space="preserve">
---
</t>
    </r>
    <r>
      <rPr>
        <rFont val="Arial"/>
        <color rgb="FF2F5496"/>
        <sz val="10.0"/>
      </rPr>
      <t>Name: Phone allowance
amount: 100$
Is default: 0</t>
    </r>
    <r>
      <rPr>
        <rFont val="Arial"/>
        <sz val="10.0"/>
      </rPr>
      <t xml:space="preserve">
</t>
    </r>
  </si>
  <si>
    <t>Verify that the user can create allowances for employee</t>
  </si>
  <si>
    <r>
      <rPr/>
      <t xml:space="preserve">1. Go to "Employee"
2. Click edit at Id : 1235- johnson
</t>
    </r>
    <r>
      <rPr>
        <rFont val="Arial"/>
        <color rgb="FF2F5496"/>
        <sz val="10.0"/>
      </rPr>
      <t xml:space="preserve">
</t>
    </r>
    <r>
      <rPr>
        <rFont val="Arial"/>
        <sz val="10.0"/>
      </rPr>
      <t xml:space="preserve">
</t>
    </r>
  </si>
  <si>
    <t xml:space="preserve">The application shows profile of employee. Include: 
- Personal info tab: personal, contact, working info, education, relationship....
- Job tab: work experience, contract
- Salary tab: salary, allowance, deduction, insurance
- More: Reward/ discipline, Careerr  path
</t>
  </si>
  <si>
    <t>3. Click salary tab
4. Observe default value of allowance tab</t>
  </si>
  <si>
    <r>
      <rPr/>
      <t xml:space="preserve">The allowance is applied to the default value by allowance master (is default: 1):
</t>
    </r>
    <r>
      <rPr>
        <rFont val="Arial"/>
        <i/>
        <color rgb="FF2F5496"/>
        <sz val="10.0"/>
      </rPr>
      <t>Name: Lunch Allowance
amount: 400$
---
Name: Car Allowance 1
amount: 200$
---
Name: Cost of Living Allowance 1
amount: 200$</t>
    </r>
  </si>
  <si>
    <t>5. Edit/ choose new allowance
Car Allowance 2
amount :400$</t>
  </si>
  <si>
    <t>The allowance type is chosen will be displayed</t>
  </si>
  <si>
    <r>
      <rPr/>
      <t xml:space="preserve">6. Add new allowance type by click "Add"
7. Choose 
</t>
    </r>
    <r>
      <rPr>
        <rFont val="Arial"/>
        <i/>
        <color rgb="FF2F5496"/>
        <sz val="10.0"/>
      </rPr>
      <t>Name: Phone allowance
amount: 100$</t>
    </r>
  </si>
  <si>
    <t>6. Display blank record
7. The allowance type is chosen will be displayed</t>
  </si>
  <si>
    <t>8. Save</t>
  </si>
  <si>
    <t>All allowances info is saved successful</t>
  </si>
  <si>
    <t xml:space="preserve">Config allowance default </t>
  </si>
  <si>
    <t>Verify that the user can create allowances default for each employee</t>
  </si>
  <si>
    <r>
      <rPr/>
      <t xml:space="preserve">1. Go to "Employee"
2. Click edit at Id : </t>
    </r>
    <r>
      <rPr>
        <rFont val="Arial"/>
        <i/>
        <color rgb="FF2F5496"/>
        <sz val="10.0"/>
      </rPr>
      <t>leader1-1237</t>
    </r>
    <r>
      <rPr>
        <rFont val="Arial"/>
        <sz val="10.0"/>
      </rPr>
      <t xml:space="preserve">
3. Click salary tab
4. Observe default value of allowance tab
5. Alternate click edit for each employee </t>
    </r>
  </si>
  <si>
    <r>
      <rPr/>
      <t xml:space="preserve">The allowance is automatically applied to the default value by allowance master (is default: 1):
</t>
    </r>
    <r>
      <rPr>
        <rFont val="Arial"/>
        <i/>
        <color rgb="FF2F5496"/>
        <sz val="10.0"/>
      </rPr>
      <t>Name: Lunch Allowance
amount: 400$
---
Name: Car Allowance 1
amount: 200$
---
Name: Cost of Living Allowance 1
amount: 200$</t>
    </r>
  </si>
  <si>
    <r>
      <rPr/>
      <t xml:space="preserve">1. Go to "Configuration"
2. Click edit allowance you want set default
</t>
    </r>
    <r>
      <rPr>
        <rFont val="Arial"/>
        <i/>
        <color rgb="FF2F5496"/>
        <sz val="10.0"/>
      </rPr>
      <t>Name: Car Allowance 2
amount: 400$</t>
    </r>
    <r>
      <rPr>
        <rFont val="Arial"/>
        <sz val="10.0"/>
      </rPr>
      <t xml:space="preserve">
3. Check default
</t>
    </r>
  </si>
  <si>
    <t>The allowance is chosen will be become default value
The system will automatically applied to current allowance of all employees</t>
  </si>
  <si>
    <t>4. Back to employee list
5. Click edit employee 
6. Alternate click edit for each employee : 1238 manager1, 1239- hr, 1240 trainer, 1241-employee, 1242 manager2</t>
  </si>
  <si>
    <r>
      <rPr/>
      <t xml:space="preserve">The allowance is automatically applied to the default value by allowance master (is default: 1):
</t>
    </r>
    <r>
      <rPr>
        <rFont val="Arial"/>
        <i/>
        <color rgb="FF2F5496"/>
        <sz val="10.0"/>
      </rPr>
      <t>Name: Lunch Allowance
amount: 400$
---
Name: Car Allowance 1
amount: 200$
---
Name: Car Allowance 2
amount: 400$
---
Name: Cost of Living Allowance 1
amount: 200$</t>
    </r>
  </si>
  <si>
    <t>7 Click edit employee 1235- johnson
8. Observe default value of allowance tab</t>
  </si>
  <si>
    <r>
      <rPr>
        <rFont val="Arial"/>
        <sz val="10.0"/>
      </rPr>
      <t xml:space="preserve">The allowance is automatically applied to default value, but still other allowances is previous configuration </t>
    </r>
    <r>
      <rPr>
        <rFont val="Arial"/>
        <color rgb="FF2F5496"/>
        <sz val="10.0"/>
      </rPr>
      <t xml:space="preserve">
Name: Lunch Allowance
amount: 400$
---
Name: Car Allowance 1
amount: 200$
---
Name: Car Allowance 2
amount: 400$
---
Name: Cost of Living Allowance 1
amount: 200$
-- 
Phone allowance
amount: 100$</t>
    </r>
  </si>
  <si>
    <t>View my current allowance</t>
  </si>
  <si>
    <t>Login on web with employee  role
user: johnson1235
pass: default</t>
  </si>
  <si>
    <t>Verify that the user can view my current allowance</t>
  </si>
  <si>
    <t>1. Go to profile
2. Click tab Salary
3. Observe allowance group</t>
  </si>
  <si>
    <r>
      <rPr/>
      <t xml:space="preserve">Only show lastest allowances : </t>
    </r>
    <r>
      <rPr>
        <rFont val="Arial"/>
        <i/>
        <color rgb="FF2F5496"/>
        <sz val="10.0"/>
      </rPr>
      <t xml:space="preserve">
Name: Lunch Allowance
amount: 400$
---
Name: Car Allowance 1
amount: 200$
---
Name: Car Allowance 2
amount: 400$
---
Name: Cost of Living Allowance 1
amount: 200$
-- 
Phone allowance
amount: 100$</t>
    </r>
  </si>
  <si>
    <t>Config Deduction</t>
  </si>
  <si>
    <r>
      <rPr/>
      <t xml:space="preserve">Assume that, on the system has allowance master already exist. Detail:
</t>
    </r>
    <r>
      <rPr>
        <rFont val="Arial"/>
        <color rgb="FF2F5496"/>
        <sz val="10.0"/>
      </rPr>
      <t>Name: union fund 1
percent: 1
Is default: 1</t>
    </r>
    <r>
      <rPr>
        <rFont val="Arial"/>
        <sz val="10.0"/>
      </rPr>
      <t xml:space="preserve">
____
</t>
    </r>
    <r>
      <rPr>
        <rFont val="Arial"/>
        <i/>
        <color rgb="FF2F5496"/>
        <sz val="10.0"/>
      </rPr>
      <t>Name: union fund 2
percent: 10$
Is default: 0</t>
    </r>
  </si>
  <si>
    <t>Verify that the user can create Deduction for employee</t>
  </si>
  <si>
    <r>
      <rPr/>
      <t xml:space="preserve">1. Go to "Employee"
2. Click edit at Id : 1235- Johnson
</t>
    </r>
    <r>
      <rPr>
        <rFont val="Arial"/>
        <color rgb="FF2F5496"/>
        <sz val="10.0"/>
      </rPr>
      <t xml:space="preserve">
</t>
    </r>
    <r>
      <rPr>
        <rFont val="Arial"/>
        <sz val="10.0"/>
      </rPr>
      <t xml:space="preserve">
</t>
    </r>
  </si>
  <si>
    <t>3. Click salary tab
4. Observe default value of Deduction group</t>
  </si>
  <si>
    <r>
      <rPr/>
      <t xml:space="preserve">The allowance is applied to the default value by allowance master (is default: 1):
</t>
    </r>
    <r>
      <rPr>
        <rFont val="Arial"/>
        <i/>
        <color rgb="FF2F5496"/>
        <sz val="10.0"/>
      </rPr>
      <t>Name: union fund
percent : 1%</t>
    </r>
  </si>
  <si>
    <t>5. Edit/ choose new Deduction
union fund 2
amount: 10$</t>
  </si>
  <si>
    <t>The Deduction type is chosen will be displayed</t>
  </si>
  <si>
    <r>
      <rPr/>
      <t xml:space="preserve">6. Add new Deduction type by click "Add"
7. Choose 
</t>
    </r>
    <r>
      <rPr>
        <rFont val="Arial"/>
        <i/>
        <color rgb="FF2F5496"/>
        <sz val="10.0"/>
      </rPr>
      <t>Name: training fee
amount: 10$
Uncheck is default</t>
    </r>
  </si>
  <si>
    <t>6. Display blank record
7. The Deduction type is chosen will be displayed</t>
  </si>
  <si>
    <t>All Deduction info is saved successful</t>
  </si>
  <si>
    <t xml:space="preserve">Config Deduction default </t>
  </si>
  <si>
    <r>
      <rPr/>
      <t xml:space="preserve">1. Go to "Employee"
2. Click edit at Id : </t>
    </r>
    <r>
      <rPr>
        <rFont val="Arial"/>
        <i/>
        <color rgb="FF2F5496"/>
        <sz val="10.0"/>
      </rPr>
      <t>1235- Johnson</t>
    </r>
    <r>
      <rPr>
        <rFont val="Arial"/>
        <sz val="10.0"/>
      </rPr>
      <t xml:space="preserve">
3. Click salary tab
4. Observe default value of Deduction tab
5. Alternate click edit for each employee </t>
    </r>
  </si>
  <si>
    <r>
      <rPr/>
      <t>The allowance is automatically applied to the default value by allowance master (is default: 1):</t>
    </r>
    <r>
      <rPr>
        <rFont val="Arial"/>
        <i/>
        <color rgb="FF2F5496"/>
        <sz val="10.0"/>
      </rPr>
      <t xml:space="preserve">
union fund 1
percent:1</t>
    </r>
    <r>
      <rPr>
        <rFont val="Arial"/>
        <sz val="10.0"/>
      </rPr>
      <t xml:space="preserve">
</t>
    </r>
  </si>
  <si>
    <r>
      <rPr/>
      <t xml:space="preserve">1. Go to "Configuration"
2. Click edit Deduction you want set default
</t>
    </r>
    <r>
      <rPr>
        <rFont val="Arial"/>
        <i/>
        <color rgb="FF2F5496"/>
        <sz val="10.0"/>
      </rPr>
      <t>union fund 2
amount: 10$</t>
    </r>
    <r>
      <rPr>
        <rFont val="Arial"/>
        <sz val="10.0"/>
      </rPr>
      <t xml:space="preserve">
3. Check default
</t>
    </r>
  </si>
  <si>
    <t>The deduction is chosen will be become default value
The system will automatically applied to current Deduction of all employees</t>
  </si>
  <si>
    <t>4. Back to employee list
5. Click edit employee 1235 -johnson
6. Alternate click edit for each employee : 1237 leader1, 1238 manager1, 1239- hr, 1240 trainer, 1241-employee, 1242 manager2</t>
  </si>
  <si>
    <r>
      <rPr/>
      <t xml:space="preserve">The allowance is automatically applied to the default value by Deduction master (is default: 1):
</t>
    </r>
    <r>
      <rPr>
        <rFont val="Arial"/>
        <i/>
        <color rgb="FF2F5496"/>
        <sz val="10.0"/>
      </rPr>
      <t>Name: union fund
percent : 1%sal
---
union fund 2
amount: 10$</t>
    </r>
  </si>
  <si>
    <t>7 Click edit employee 1235 -johnson
8. Observe default value of Deduction tab</t>
  </si>
  <si>
    <r>
      <rPr>
        <rFont val="Arial"/>
        <sz val="10.0"/>
      </rPr>
      <t xml:space="preserve">The Deduction is automatically applied to default value, but still other Deduction is previous configuration </t>
    </r>
    <r>
      <rPr>
        <rFont val="Arial"/>
        <color rgb="FF2F5496"/>
        <sz val="10.0"/>
      </rPr>
      <t xml:space="preserve">
Name: union fund
percent : 1%sal
---
union fund 2
amount: 10$
---
Name: training fee
amount: 10$</t>
    </r>
  </si>
  <si>
    <t>View my current Deduction</t>
  </si>
  <si>
    <t>Verify that the user can view my current Deduction</t>
  </si>
  <si>
    <t>1. Go to profile
2. Click tab Salary
3. Observe Deduction group</t>
  </si>
  <si>
    <r>
      <rPr/>
      <t xml:space="preserve">Only show lastest Deductions : </t>
    </r>
    <r>
      <rPr>
        <rFont val="Arial"/>
        <i/>
        <color rgb="FF2F5496"/>
        <sz val="10.0"/>
      </rPr>
      <t xml:space="preserve">
Name: union fund
percent : 1%sal
---
union fund 2
amount: 10$
---
Name: training fee
amount: 10$</t>
    </r>
  </si>
  <si>
    <r>
      <rPr/>
      <t>1. Go to "Employee"
2. Click edit at Id :  johnson1235</t>
    </r>
    <r>
      <rPr>
        <rFont val="Arial"/>
        <color rgb="FF2F5496"/>
        <sz val="10.0"/>
      </rPr>
      <t xml:space="preserve">
</t>
    </r>
    <r>
      <rPr>
        <rFont val="Arial"/>
        <sz val="10.0"/>
      </rPr>
      <t xml:space="preserve">
</t>
    </r>
  </si>
  <si>
    <r>
      <rPr/>
      <t xml:space="preserve">The deduction is applied to the default value by allowance master (is default: 1):
</t>
    </r>
    <r>
      <rPr>
        <rFont val="Arial"/>
        <i/>
        <color rgb="FF2F5496"/>
        <sz val="10.0"/>
      </rPr>
      <t>Name: union fund
percent : 1%sal
---
union fund 2
amount: 10$
---
Name: training fee
amount: 10$</t>
    </r>
  </si>
  <si>
    <t>Config insurance</t>
  </si>
  <si>
    <r>
      <rPr/>
      <t xml:space="preserve">Assuming that, the company stipulates the level of insurance as follows: 
</t>
    </r>
    <r>
      <rPr>
        <rFont val="Arial"/>
        <b/>
        <sz val="10.0"/>
      </rPr>
      <t>Social insurance</t>
    </r>
    <r>
      <rPr>
        <rFont val="Arial"/>
        <sz val="10.0"/>
      </rPr>
      <t xml:space="preserve">
- Employees pay x %  of ( z % *gross sal )
- The company pay y % of ( z% *gross sal)
</t>
    </r>
    <r>
      <rPr>
        <rFont val="Arial"/>
        <b/>
        <sz val="10.0"/>
      </rPr>
      <t xml:space="preserve">National health insurance
</t>
    </r>
    <r>
      <rPr>
        <rFont val="Arial"/>
        <sz val="10.0"/>
      </rPr>
      <t>- Employees pay a %  of ( c% *gross sal )
- The company pay b % of ( c% *gross sal)
The Gross salary in defined in employee contract
Assuming that, all employees has a labor contract. Detail
1. 1234- Marry- emp, sale staff, Department: Delivery room, full-time probation, contract from 01/10/2018 - 31/12/2018, sal:900$
2. 1235 - Johnson -leader , Marketing leader, Dept: Delivery room, full-time contract, contract 01/01/2018 -31/12/2018, sal: 1500$
3. 1237 - leader1 -leader , Delivery leader, Dept: Delivery room, full-time contract, contract 01/01/2018 -31/12/2018, sal: 1500$
4. 1238 - manager1 -manager , Marketing leader, Dept: Delivery room,  full-time Permanent, contract 01/01/2018 - , sal: 2200$
5. 1239 - hr -hr , HR staff, Dept: HR room,  full-time contract  01/01/2018 -31/12/2018 - , sal: 1200$
6. 1240 - trainer -trainer , trainer Dept: Training room,  full-time contract  01/01/2018 -31/12/2018 - , sal: 1200$
7. 1241 - employee -emp , Marketing, Dept: Sale,  part-time contract  01/01/2018 -31/12/2018 - , sal: 700$
8. 1242 - manger2 -manager  , Sale Manage, Dept: Sale,  full-time permanent  01/01/2018  - , sal: 2300$</t>
    </r>
  </si>
  <si>
    <t>View list of insurance premiums of employees</t>
  </si>
  <si>
    <t>Login on web with acc
user: hr
pass: default</t>
  </si>
  <si>
    <t>Verify that the user can  list of social insurance premiums of employees</t>
  </si>
  <si>
    <t xml:space="preserve">1. Go to insurance
2. Click Social tab
</t>
  </si>
  <si>
    <t xml:space="preserve">1. The application show 2 tab: Socical and National health
2. The application displays the list has 7 record. 
Month: curent month
Each record has columns:
- ID: 
- Name: 
- Department: Delivery room
- Sal: sal
- Rate of emp: x%
- Employee : r1 ( r=x%*z*sal)
- Rate of company: y%
- Company: r2 ( r=y%*z*sal)
- Total: r= r1+r2
Only get employees list has working status and except Probation contract </t>
  </si>
  <si>
    <t xml:space="preserve">3. Click tab National health </t>
  </si>
  <si>
    <t xml:space="preserve">The application displays the list has 7 record. 
Month: curent month
Each record has columns:
- ID: 
- Name: 
- Department: Delivery room
- Sal: sal
- Rate of emp: a%
- Employee : r1 ( r=a%*c*sal)
- Rate of company: b%
- Company: r2 ( r=b%*c*sal)
- Total: r= r1+r2
Only get employees list has working status and except Probation contract </t>
  </si>
  <si>
    <t>Increase emp</t>
  </si>
  <si>
    <t>Verify that the user can declare increase employees
in case stops insurance premiums for employees</t>
  </si>
  <si>
    <t>1. Go to insurance
2. Click Social tab
3. Click add
4. Search and choose employee</t>
  </si>
  <si>
    <t>The employee is add to insurance list</t>
  </si>
  <si>
    <t>Decrease emp</t>
  </si>
  <si>
    <t>Verify that the user can declare reduced employees
in case stops insurance premiums for employees</t>
  </si>
  <si>
    <t>1. Go to insurance
2. Click Social tab
3. Check employee
4. Click delete</t>
  </si>
  <si>
    <t>The employee is removed from insurance list</t>
  </si>
  <si>
    <t>Edit rate pay</t>
  </si>
  <si>
    <t>Verify that the user can edit the rate premium</t>
  </si>
  <si>
    <t>1. Go to configuration 
2. Click Insurance
3. Click edit rate pay
z --&gt; z1
4. Save</t>
  </si>
  <si>
    <t>Configuration is saved successful</t>
  </si>
  <si>
    <t>View my premiums</t>
  </si>
  <si>
    <t>Login on web with employee role
acc: marry1234
pass: default</t>
  </si>
  <si>
    <t>Verify that the user can view your premium</t>
  </si>
  <si>
    <t>1. Go to profile
2. Click tab Salary
3. Observe insurance group</t>
  </si>
  <si>
    <r>
      <rPr/>
      <t xml:space="preserve">Displays two record
the first record
- ID: 1234
- Name: Marry
- Department: Delivery room
- Sal: sal
- Rate of emp: x%
- Employee : r1 ( r=x%*z1*sal)
- Rate of company: y%
- Company: r2 ( r=y%*z1*sal)
- Total: r= r1+r2 
----
The sencond record
- ID: 1234
- Name: Marry
- Department: Delivery room
- Sal: sal
- Rate of emp: x%
- Employee : r1 ( r=x%*z*sal)
- Rate of company: y%
- Company: r2 ( r=y%*z*sal)
- Total: r= r1+r2
</t>
    </r>
    <r>
      <rPr>
        <rFont val="Arial"/>
        <b/>
        <sz val="10.0"/>
      </rPr>
      <t>Each time the HR updates premium information, a history record is added</t>
    </r>
  </si>
  <si>
    <t>4. Reward</t>
  </si>
  <si>
    <t>Manager</t>
  </si>
  <si>
    <t>View Reward List</t>
  </si>
  <si>
    <r>
      <rPr/>
      <t xml:space="preserve">Login with Manager account
</t>
    </r>
    <r>
      <rPr>
        <rFont val="Arial"/>
        <i/>
        <color rgb="FF2F5496"/>
        <sz val="10.0"/>
      </rPr>
      <t>manager1</t>
    </r>
  </si>
  <si>
    <t>Verify that Manager can View a reward list successfully</t>
  </si>
  <si>
    <t>1. Go to Reward/ Discipline management
2. Go to Reward tab</t>
  </si>
  <si>
    <r>
      <rPr/>
      <t xml:space="preserve">The reward list will be display
The list have following informations:
</t>
    </r>
    <r>
      <rPr>
        <rFont val="Arial"/>
        <i/>
        <color rgb="FF2F5496"/>
        <sz val="10.0"/>
      </rPr>
      <t>Published date, Session name, Value, Attachment</t>
    </r>
  </si>
  <si>
    <r>
      <rPr/>
      <t xml:space="preserve">Login with Manager account
</t>
    </r>
    <r>
      <rPr>
        <rFont val="Arial"/>
        <i/>
        <color rgb="FF2F5496"/>
        <sz val="10.0"/>
      </rPr>
      <t xml:space="preserve">manager1
</t>
    </r>
    <r>
      <rPr>
        <rFont val="Arial"/>
        <color rgb="FF000000"/>
        <sz val="10.0"/>
      </rPr>
      <t>Have no reward befere</t>
    </r>
  </si>
  <si>
    <t>Verify that there's display correctly when the list is empty</t>
  </si>
  <si>
    <r>
      <rPr/>
      <t xml:space="preserve">The empty list display with message:
</t>
    </r>
    <r>
      <rPr>
        <rFont val="Arial"/>
        <i/>
        <color rgb="FF2F5496"/>
        <sz val="10.0"/>
      </rPr>
      <t>"The are no reward!"</t>
    </r>
  </si>
  <si>
    <t>Create Reward</t>
  </si>
  <si>
    <r>
      <rPr/>
      <t xml:space="preserve">Login with Manager account
</t>
    </r>
    <r>
      <rPr>
        <rFont val="Arial"/>
        <i/>
        <color rgb="FF2F5496"/>
        <sz val="10.0"/>
      </rPr>
      <t>manager1</t>
    </r>
  </si>
  <si>
    <t>Verify that Manager can create a reward successfully</t>
  </si>
  <si>
    <r>
      <rPr/>
      <t>1. Go to Rewart management
2. Tap on Create button
3. Input all require fields</t>
    </r>
    <r>
      <rPr>
        <rFont val="Arial"/>
        <color rgb="FF000000"/>
        <sz val="10.0"/>
      </rPr>
      <t xml:space="preserve">
</t>
    </r>
    <r>
      <rPr>
        <rFont val="Arial"/>
        <i/>
        <color rgb="FF2F5496"/>
        <sz val="10.0"/>
      </rPr>
      <t xml:space="preserve">Name: Project
Desciprtion:
Employee list
- Marry: cash, 2000$
- Johnson: compensatory leave, 3days
- emp:  cash, 2000$
</t>
    </r>
    <r>
      <rPr>
        <rFont val="Arial"/>
        <color rgb="FF000000"/>
        <sz val="10.0"/>
      </rPr>
      <t>4. Tap on Create button</t>
    </r>
  </si>
  <si>
    <r>
      <rPr/>
      <t>The reward was saved with following details:</t>
    </r>
    <r>
      <rPr>
        <rFont val="Arial"/>
        <i/>
        <color rgb="FF2F5496"/>
        <sz val="10.0"/>
      </rPr>
      <t xml:space="preserve">
Name: Project
Publish Date:
Value: Cash (4000$); compensatory leave( 3days)
Number of person: 3
Status: Draft</t>
    </r>
  </si>
  <si>
    <t>Edit Reward</t>
  </si>
  <si>
    <r>
      <rPr/>
      <t xml:space="preserve">Login with Manager account
</t>
    </r>
    <r>
      <rPr>
        <rFont val="Arial"/>
        <i/>
        <color rgb="FF2F5496"/>
        <sz val="10.0"/>
      </rPr>
      <t>manager1</t>
    </r>
  </si>
  <si>
    <t>Verify that Manager can Edit a reward was created</t>
  </si>
  <si>
    <r>
      <rPr/>
      <t xml:space="preserve">1, Tap on Edit button in the reward was save without pubulish
2. Edit information </t>
    </r>
    <r>
      <rPr>
        <rFont val="Arial"/>
        <i/>
        <color rgb="FF2F5496"/>
        <sz val="10.0"/>
      </rPr>
      <t xml:space="preserve">
Name: Project
Desciprtion:
Employee list
- Marry: cash, 2000$
- Johnson: compensatory leave, 3days</t>
    </r>
    <r>
      <rPr>
        <rFont val="Arial"/>
        <color rgb="FF000000"/>
        <sz val="10.0"/>
      </rPr>
      <t xml:space="preserve">
3. Tap on Save button</t>
    </r>
  </si>
  <si>
    <r>
      <rPr/>
      <t>The reward was saved with following details:</t>
    </r>
    <r>
      <rPr>
        <rFont val="Arial"/>
        <i/>
        <color rgb="FF2F5496"/>
        <sz val="10.0"/>
      </rPr>
      <t xml:space="preserve">
Name: Project
Publish Date:
Value: Cash (2000$); compensatory leave( 3days)
Number of person: 2
Status: Draft</t>
    </r>
  </si>
  <si>
    <r>
      <rPr/>
      <t xml:space="preserve">Login with Manager account
</t>
    </r>
    <r>
      <rPr>
        <rFont val="Arial"/>
        <i/>
        <color rgb="FF2F5496"/>
        <sz val="10.0"/>
      </rPr>
      <t>manager1</t>
    </r>
  </si>
  <si>
    <t>Verify that Manager can view a reward detail</t>
  </si>
  <si>
    <t>1, Tap onview button in the first record- Project</t>
  </si>
  <si>
    <r>
      <rPr/>
      <t>The reward was displayed with following details:</t>
    </r>
    <r>
      <rPr>
        <rFont val="Arial"/>
        <i/>
        <color rgb="FF2F5496"/>
        <sz val="10.0"/>
      </rPr>
      <t xml:space="preserve">
Name: Project
Desciprtion:
Employee list
- Marry: cash, 2000$
- Johnson: compensatory leave, 3days</t>
    </r>
  </si>
  <si>
    <t>Mobile, Web</t>
  </si>
  <si>
    <t>View Reward</t>
  </si>
  <si>
    <r>
      <rPr/>
      <t xml:space="preserve">Login with employee account
</t>
    </r>
    <r>
      <rPr>
        <rFont val="Arial"/>
        <i/>
        <color rgb="FF2F5496"/>
        <sz val="10.0"/>
      </rPr>
      <t>marry1234</t>
    </r>
  </si>
  <si>
    <t>Verify that employee can view their Reward</t>
  </si>
  <si>
    <t>1. Open the left menu
2. Tap on profile button
3. Tap on Reward/Discipline button
4. Tap on Reward tab</t>
  </si>
  <si>
    <t>The user can not see the reward unpublished</t>
  </si>
  <si>
    <t>Delete Reward</t>
  </si>
  <si>
    <r>
      <rPr/>
      <t xml:space="preserve">Login with Manager account
</t>
    </r>
    <r>
      <rPr>
        <rFont val="Arial"/>
        <i/>
        <color rgb="FF2F5496"/>
        <sz val="10.0"/>
      </rPr>
      <t>manager1</t>
    </r>
  </si>
  <si>
    <t>Verify that Manager can Delete a reward was created</t>
  </si>
  <si>
    <t>1, Tap on Delete button in the reward was save without pubulish
2. Tap on Ok button to confirm</t>
  </si>
  <si>
    <r>
      <rPr/>
      <t xml:space="preserve">At step 1: The confirmation message display with message:
</t>
    </r>
    <r>
      <rPr>
        <rFont val="Arial"/>
        <i/>
        <color rgb="FF2F5496"/>
        <sz val="10.0"/>
      </rPr>
      <t xml:space="preserve">"Do you want to delete this reward?"
</t>
    </r>
    <r>
      <rPr>
        <rFont val="Arial"/>
        <color rgb="FF000000"/>
        <sz val="10.0"/>
      </rPr>
      <t>At step 2: The reward was removed from the list</t>
    </r>
  </si>
  <si>
    <t>Publish Reward</t>
  </si>
  <si>
    <r>
      <rPr/>
      <t xml:space="preserve">Login with Manager account
</t>
    </r>
    <r>
      <rPr>
        <rFont val="Arial"/>
        <i/>
        <color rgb="FF2F5496"/>
        <sz val="10.0"/>
      </rPr>
      <t xml:space="preserve">manager1
</t>
    </r>
    <r>
      <rPr>
        <rFont val="Arial"/>
        <sz val="10.0"/>
      </rPr>
      <t>Have a reward was created before with info same ST_199</t>
    </r>
  </si>
  <si>
    <t>Verify that Manager can publish a reward successfully</t>
  </si>
  <si>
    <t>1. Go to Reward management
2. Click publish icon at reward list</t>
  </si>
  <si>
    <r>
      <rPr/>
      <t>The reward was published
all employees is rewarded</t>
    </r>
    <r>
      <rPr>
        <rFont val="Arial"/>
        <color rgb="FF000000"/>
        <sz val="10.0"/>
      </rPr>
      <t xml:space="preserve"> can be see this reward in their profile
The new reward display in the list with content:
</t>
    </r>
    <r>
      <rPr>
        <rFont val="Arial"/>
        <i/>
        <color rgb="FF2F5496"/>
        <sz val="10.0"/>
      </rPr>
      <t>Name: Project
Publish Date:
Value: Cash (2000$); compensatory leave( 3days)
Number of person: 2
Status: Publish</t>
    </r>
  </si>
  <si>
    <t>Create and publish</t>
  </si>
  <si>
    <r>
      <rPr/>
      <t xml:space="preserve">Login with Manager account
</t>
    </r>
    <r>
      <rPr>
        <rFont val="Arial"/>
        <i/>
        <color rgb="FF2F5496"/>
        <sz val="10.0"/>
      </rPr>
      <t>manager1</t>
    </r>
  </si>
  <si>
    <t>Verify that Manager can create and publish a reward successfully</t>
  </si>
  <si>
    <r>
      <rPr/>
      <t xml:space="preserve">1. Go to Rewart management
2. Tap on Create button
3. Input all require fields
</t>
    </r>
    <r>
      <rPr>
        <rFont val="Arial"/>
        <i/>
        <color rgb="FF2F5496"/>
        <sz val="10.0"/>
      </rPr>
      <t>Name: Project
Desciprtion:
Employee list
- Marry: cash, 2000$
- Johnson: compensatory leave, 3days
- emp: cash, 1000$</t>
    </r>
    <r>
      <rPr>
        <rFont val="Arial"/>
        <sz val="10.0"/>
      </rPr>
      <t xml:space="preserve">
4. Tap on Create and pubish button</t>
    </r>
  </si>
  <si>
    <r>
      <rPr/>
      <t>The reward was published
all employees is rewarded</t>
    </r>
    <r>
      <rPr>
        <rFont val="Arial"/>
        <color rgb="FF000000"/>
        <sz val="10.0"/>
      </rPr>
      <t xml:space="preserve"> can be see this reward in their profile
The new reward display in the list with content:
</t>
    </r>
    <r>
      <rPr>
        <rFont val="Arial"/>
        <i/>
        <color rgb="FF2F5496"/>
        <sz val="10.0"/>
      </rPr>
      <t>Name: Project
Publish Date:
Value: Cash (2000$); compensatory leave( 3days)
Number of person: 2
Status: Publish</t>
    </r>
  </si>
  <si>
    <r>
      <rPr/>
      <t xml:space="preserve">Login with employee account
</t>
    </r>
    <r>
      <rPr>
        <rFont val="Arial"/>
        <i/>
        <color rgb="FF2F5496"/>
        <sz val="10.0"/>
      </rPr>
      <t xml:space="preserve">marry1236
</t>
    </r>
    <r>
      <rPr>
        <rFont val="Arial"/>
        <color rgb="FF000000"/>
        <sz val="10.0"/>
      </rPr>
      <t>The reward was created and pusblised by manager</t>
    </r>
  </si>
  <si>
    <r>
      <rPr/>
      <t xml:space="preserve">At step 4: List of reward display, 
Employee can see all the reward that manager created and published
</t>
    </r>
    <r>
      <rPr>
        <rFont val="Arial"/>
        <i/>
        <color rgb="FF2F5496"/>
        <sz val="10.0"/>
      </rPr>
      <t>Name: Project
Publish Date: publishedDate
Type: Cash
Value: 2000S
Status: Publish</t>
    </r>
  </si>
  <si>
    <t>Leader</t>
  </si>
  <si>
    <t>View the reward list</t>
  </si>
  <si>
    <r>
      <rPr/>
      <t xml:space="preserve">Login with Leader account
</t>
    </r>
    <r>
      <rPr>
        <rFont val="Arial"/>
        <i/>
        <color rgb="FF2F5496"/>
        <sz val="10.0"/>
      </rPr>
      <t>john1235</t>
    </r>
  </si>
  <si>
    <t>Verify that the user can reward list was published by manager</t>
  </si>
  <si>
    <t>1. Go to Reward/Discipline
2. Expand Discipline</t>
  </si>
  <si>
    <t xml:space="preserve">All published rewards is displayed
</t>
  </si>
  <si>
    <t>3. Click view detail</t>
  </si>
  <si>
    <r>
      <rPr>
        <rFont val="Arial"/>
        <sz val="10.0"/>
      </rPr>
      <t>First record:</t>
    </r>
    <r>
      <rPr>
        <rFont val="Arial"/>
        <i/>
        <color rgb="FF2F5496"/>
        <sz val="10.0"/>
      </rPr>
      <t xml:space="preserve">
Name: Project
Desciprtion:
Employee list
- Marry: cash, 2000$
- Johnson: compensatory leave, 3days
</t>
    </r>
    <r>
      <rPr>
        <rFont val="Arial"/>
        <sz val="10.0"/>
      </rPr>
      <t>Second record</t>
    </r>
    <r>
      <rPr>
        <rFont val="Arial"/>
        <i/>
        <color rgb="FF2F5496"/>
        <sz val="10.0"/>
      </rPr>
      <t xml:space="preserve">
Name: Project
Desciprtion:
Employee list
- Marry: cash, 2000$
- Johnson: compensatory leave, 3days
- emp: cash, 1000$</t>
    </r>
  </si>
  <si>
    <t>Search the reward list</t>
  </si>
  <si>
    <r>
      <rPr/>
      <t xml:space="preserve">Login with Leader account
</t>
    </r>
    <r>
      <rPr>
        <rFont val="Arial"/>
        <i/>
        <color rgb="FF2F5496"/>
        <sz val="10.0"/>
      </rPr>
      <t>john1235</t>
    </r>
  </si>
  <si>
    <t>Verify that the uuser can search reward info of a employee</t>
  </si>
  <si>
    <t>1. At reward list
2. Input employee name
marry
3. Click search</t>
  </si>
  <si>
    <r>
      <rPr/>
      <t xml:space="preserve">The application shows all rewards that employee is received
Two record with detail info
</t>
    </r>
    <r>
      <rPr>
        <rFont val="Arial"/>
        <i/>
        <color rgb="FF2F5496"/>
        <sz val="10.0"/>
      </rPr>
      <t>Name: Project
Publish Date:
Value: Cash (2000$); compensatory leave( 3days)
Number of person: 2
Status: Publish
----
Name: Project
Publish Date:
Value: Cash (3000$); compensatory leave( 3days)
Number of person: 3</t>
    </r>
    <r>
      <rPr>
        <rFont val="Arial"/>
        <sz val="10.0"/>
      </rPr>
      <t xml:space="preserve">
Status: Publish</t>
    </r>
  </si>
  <si>
    <r>
      <rPr/>
      <t xml:space="preserve">Login with HR account
</t>
    </r>
    <r>
      <rPr>
        <rFont val="Arial"/>
        <i/>
        <color rgb="FF2F5496"/>
        <sz val="10.0"/>
      </rPr>
      <t>hr</t>
    </r>
  </si>
  <si>
    <r>
      <rPr/>
      <t xml:space="preserve">All published rewards is displayed
</t>
    </r>
    <r>
      <rPr>
        <rFont val="Arial"/>
        <i/>
        <color rgb="FF2F5496"/>
        <sz val="10.0"/>
      </rPr>
      <t>Name: Project
Publish Date:
Value: Cash (2000$); compensatory leave( 3days)
Number of person: 2
Status: Publish
----
Name: Project
Publish Date:
Value: Cash (3000$); compensatory leave( 3days)
Number of person: 3
Status: Publish</t>
    </r>
  </si>
  <si>
    <r>
      <rPr>
        <rFont val="Arial"/>
        <sz val="10.0"/>
      </rPr>
      <t>First record:</t>
    </r>
    <r>
      <rPr>
        <rFont val="Arial"/>
        <i/>
        <color rgb="FF2F5496"/>
        <sz val="10.0"/>
      </rPr>
      <t xml:space="preserve">
Name: Project
Desciprtion:
Employee list
- Marry: cash, 2000$
- Johnson: compensatory leave, 3days
</t>
    </r>
    <r>
      <rPr>
        <rFont val="Arial"/>
        <sz val="10.0"/>
      </rPr>
      <t>Second record</t>
    </r>
    <r>
      <rPr>
        <rFont val="Arial"/>
        <i/>
        <color rgb="FF2F5496"/>
        <sz val="10.0"/>
      </rPr>
      <t xml:space="preserve">
Name: Project
Desciprtion:
Employee list
- Marry: cash, 2000$
- Johnson: compensatory leave, 3days
- emp: cash, 1000$</t>
    </r>
  </si>
  <si>
    <t>Login with HR account
hr</t>
  </si>
  <si>
    <r>
      <rPr/>
      <t xml:space="preserve">The application shows all rewards that employee is received
Two record with detail info
</t>
    </r>
    <r>
      <rPr>
        <rFont val="Arial"/>
        <i/>
        <color rgb="FF2F5496"/>
        <sz val="10.0"/>
      </rPr>
      <t>Name: Project
Publish Date:
Value: Cash (2000$); compensatory leave( 3days)
Number of person: 2
Status: Publish
----
Name: Project
Publish Date:
Value: Cash (3000$); compensatory leave( 3days)
Number of person: 3</t>
    </r>
    <r>
      <rPr>
        <rFont val="Arial"/>
        <sz val="10.0"/>
      </rPr>
      <t xml:space="preserve">
Status: Publish</t>
    </r>
  </si>
  <si>
    <t xml:space="preserve">Set done </t>
  </si>
  <si>
    <t>Login with HR account
hr1240</t>
  </si>
  <si>
    <t>Verify that the user can change status of the reward</t>
  </si>
  <si>
    <t>1. At reward list
2. Check done at first rescord 
3. Confirm Yes</t>
  </si>
  <si>
    <t>Status of the reward is changed from Publish to Completed</t>
  </si>
  <si>
    <t>View Reward from profile</t>
  </si>
  <si>
    <r>
      <rPr/>
      <t xml:space="preserve">Login with HR account
</t>
    </r>
    <r>
      <rPr>
        <rFont val="Arial"/>
        <i/>
        <color rgb="FF2F5496"/>
        <sz val="10.0"/>
      </rPr>
      <t>hr1240</t>
    </r>
  </si>
  <si>
    <t>Vetify that HR can view the reward from employee profile</t>
  </si>
  <si>
    <t>1. Open Employee 
2. Click Edit at the employee (marry-1234)
3. Tap on Reward / discipline tab</t>
  </si>
  <si>
    <t>The application shows two record
Name: Project
Publish Date: publishedDate
Type: Cash
Value: 2000S
Status: Publish
Name: Project
Publish Date: publishedDate
Type: Cash
Value: 2000S
Status: Completed</t>
  </si>
  <si>
    <t>5. Discipline</t>
  </si>
  <si>
    <t>View discipline List</t>
  </si>
  <si>
    <r>
      <rPr/>
      <t xml:space="preserve">Login with Manager account
</t>
    </r>
    <r>
      <rPr>
        <rFont val="Arial"/>
        <i/>
        <color rgb="FF2F5496"/>
        <sz val="10.0"/>
      </rPr>
      <t>manager1</t>
    </r>
  </si>
  <si>
    <t>Verify that Manager can View a discipline list successfully</t>
  </si>
  <si>
    <t>1. Go to discipline/ Discipline management
2. Go to discipline tab</t>
  </si>
  <si>
    <t>The discipline list will be display
The list have following informations:
Time, Session name, Value, Attachment</t>
  </si>
  <si>
    <t>Login with Manager account
manager1
Have no discipline befere</t>
  </si>
  <si>
    <t>The empty list display with message:
"The are no discipline!"</t>
  </si>
  <si>
    <t>Create discipline</t>
  </si>
  <si>
    <r>
      <rPr/>
      <t xml:space="preserve">Login with Manager account
</t>
    </r>
    <r>
      <rPr>
        <rFont val="Arial"/>
        <i/>
        <color rgb="FF2F5496"/>
        <sz val="10.0"/>
      </rPr>
      <t>manager1</t>
    </r>
  </si>
  <si>
    <t>Verify that Manager can create a discipline successfully</t>
  </si>
  <si>
    <r>
      <rPr/>
      <t>1. Go to Rewart management
2. Tap on Create button
3. Input all require fields</t>
    </r>
    <r>
      <rPr>
        <rFont val="Arial"/>
        <color rgb="FF000000"/>
        <sz val="10.0"/>
      </rPr>
      <t xml:space="preserve">
</t>
    </r>
    <r>
      <rPr>
        <rFont val="Arial"/>
        <i/>
        <color rgb="FF2F5496"/>
        <sz val="10.0"/>
      </rPr>
      <t xml:space="preserve">Name: Project
Desciprtion: to late too many times
Employee list
- Marry: cash, 20$
</t>
    </r>
    <r>
      <rPr>
        <rFont val="Arial"/>
        <color rgb="FF000000"/>
        <sz val="10.0"/>
      </rPr>
      <t>4. Tap on Create button</t>
    </r>
  </si>
  <si>
    <r>
      <rPr/>
      <t xml:space="preserve">The discipline was saved with following details:
</t>
    </r>
    <r>
      <rPr>
        <rFont val="Arial"/>
        <i/>
        <color rgb="FF2F5496"/>
        <sz val="10.0"/>
      </rPr>
      <t>Name: Project
Publish Date:
Value: Cash (20$)
Number of person: 1
Status: Draft</t>
    </r>
  </si>
  <si>
    <t>Edit discipline</t>
  </si>
  <si>
    <r>
      <rPr/>
      <t xml:space="preserve">Login with Manager account
</t>
    </r>
    <r>
      <rPr>
        <rFont val="Arial"/>
        <i/>
        <color rgb="FF2F5496"/>
        <sz val="10.0"/>
      </rPr>
      <t>manager1</t>
    </r>
  </si>
  <si>
    <t>Verify that Manager can Edit a discipline was created</t>
  </si>
  <si>
    <r>
      <rPr/>
      <t xml:space="preserve">1, Tap on Edit button in the discipline was save without pubulish
2. Edit information 
</t>
    </r>
    <r>
      <rPr>
        <rFont val="Arial"/>
        <i/>
        <color rgb="FF2F5496"/>
        <sz val="10.0"/>
      </rPr>
      <t>Name: Project
Desciprtion: to late too many times
Employee list
- Marry: cash, 20$
- Johnson: cash, 20$</t>
    </r>
    <r>
      <rPr>
        <rFont val="Arial"/>
        <sz val="10.0"/>
      </rPr>
      <t xml:space="preserve">
3. Tap on Save button</t>
    </r>
  </si>
  <si>
    <r>
      <rPr/>
      <t xml:space="preserve">The discipline was saved with following details:
</t>
    </r>
    <r>
      <rPr>
        <rFont val="Arial"/>
        <i/>
        <color rgb="FF2F5496"/>
        <sz val="10.0"/>
      </rPr>
      <t>Name: Project
Publish Date:
Value: Cash (40$)
Number of person: 2
Status: Draft</t>
    </r>
  </si>
  <si>
    <r>
      <rPr/>
      <t xml:space="preserve">Login with Manager account
</t>
    </r>
    <r>
      <rPr>
        <rFont val="Arial"/>
        <i/>
        <color rgb="FF2F5496"/>
        <sz val="10.0"/>
      </rPr>
      <t>manager1</t>
    </r>
  </si>
  <si>
    <t>Verify that Manager can view a discipline detail</t>
  </si>
  <si>
    <r>
      <rPr/>
      <t xml:space="preserve">The discipline was displayed with following details:
</t>
    </r>
    <r>
      <rPr>
        <rFont val="Arial"/>
        <i/>
        <color rgb="FF2F5496"/>
        <sz val="10.0"/>
      </rPr>
      <t>Name: Project
Desciprtion: to late too many times
Employee list
- Marry: cash, 20$
- Johnson: cash, 20$</t>
    </r>
  </si>
  <si>
    <t>View discipline</t>
  </si>
  <si>
    <r>
      <rPr/>
      <t xml:space="preserve">Login with employee account
</t>
    </r>
    <r>
      <rPr>
        <rFont val="Arial"/>
        <i/>
        <color rgb="FF2F5496"/>
        <sz val="10.0"/>
      </rPr>
      <t>marry1234</t>
    </r>
  </si>
  <si>
    <t>Verify that employee can view their discipline</t>
  </si>
  <si>
    <t>1. Open the left menu
2. Tap on profile button
3. Tap on discipline/Discipline button
4. Tap on discipline tab</t>
  </si>
  <si>
    <t>The user can not see the discipline unpublished</t>
  </si>
  <si>
    <t>Delete discipline</t>
  </si>
  <si>
    <r>
      <rPr/>
      <t xml:space="preserve">Login with Manager account
</t>
    </r>
    <r>
      <rPr>
        <rFont val="Arial"/>
        <i/>
        <color rgb="FF2F5496"/>
        <sz val="10.0"/>
      </rPr>
      <t>manager1</t>
    </r>
  </si>
  <si>
    <t>Verify that Manager can Delete a discipline was created</t>
  </si>
  <si>
    <t>1, Tap on Delete button in the discipline was save without pubulish
2. Tap on Ok button to confirm</t>
  </si>
  <si>
    <t>At step 1: The confirmation message display with message:
"Do you want to delete this discipline?"
At step 2: The discipline was removed from the list</t>
  </si>
  <si>
    <t>Publish discipline</t>
  </si>
  <si>
    <r>
      <rPr/>
      <t xml:space="preserve">Login with Manager account
manager1
Have a discipline was created before with info 
</t>
    </r>
    <r>
      <rPr>
        <rFont val="Arial"/>
        <i/>
        <color rgb="FF2F5496"/>
        <sz val="10.0"/>
      </rPr>
      <t>Name: Project
Desciprtion: to late too many times
Employee list
- Marry: cash, 20$
- Johnson: cash, 20$</t>
    </r>
  </si>
  <si>
    <t>Verify that Manager can publish a discipline successfully</t>
  </si>
  <si>
    <t>1. Go to discipline management
2. Click publish icon at discipline list</t>
  </si>
  <si>
    <r>
      <rPr/>
      <t xml:space="preserve">The discipline was published
all employees is disciplineed can be see this discipline in their profile
The new discipline display in the list with content:
</t>
    </r>
    <r>
      <rPr>
        <rFont val="Arial"/>
        <i/>
        <color rgb="FF2F5496"/>
        <sz val="10.0"/>
      </rPr>
      <t>Name: Project
Publish Date:
Value: Cash (40$)
Number of person: 2
Status: Publish</t>
    </r>
  </si>
  <si>
    <r>
      <rPr/>
      <t xml:space="preserve">Login with Manager account
</t>
    </r>
    <r>
      <rPr>
        <rFont val="Arial"/>
        <i/>
        <color rgb="FF2F5496"/>
        <sz val="10.0"/>
      </rPr>
      <t>manager1</t>
    </r>
  </si>
  <si>
    <t>Verify that Manager can create and publish a discipline successfully</t>
  </si>
  <si>
    <r>
      <rPr/>
      <t xml:space="preserve">1. Go to Rewart management
2. Tap on Create button
3. Input all require fields
</t>
    </r>
    <r>
      <rPr>
        <rFont val="Arial"/>
        <i/>
        <color rgb="FF2F5496"/>
        <sz val="10.0"/>
      </rPr>
      <t>Name: Project
Desciprtion: to late too many times
Employee list
- Marry: cash, 10$</t>
    </r>
    <r>
      <rPr>
        <rFont val="Arial"/>
        <sz val="10.0"/>
      </rPr>
      <t xml:space="preserve">
4. Tap on Create and pubish button</t>
    </r>
  </si>
  <si>
    <r>
      <rPr/>
      <t xml:space="preserve">The discipline was published
all employees is disciplineed can be see this discipline in their profile
The new discipline display in the list with content:
</t>
    </r>
    <r>
      <rPr>
        <rFont val="Arial"/>
        <i/>
        <color rgb="FF2F5496"/>
        <sz val="10.0"/>
      </rPr>
      <t>Name: Project
Publish Date:
Value: Cash (10$)
Number of person: 1
Status: Publish</t>
    </r>
  </si>
  <si>
    <t>Login with employee account
marry1234
The discipline was created and pusblised by manager</t>
  </si>
  <si>
    <r>
      <rPr/>
      <t xml:space="preserve">At step 4: List of discipline display, 
Employee can see all the discipline that manager created and published
</t>
    </r>
    <r>
      <rPr>
        <rFont val="Arial"/>
        <i/>
        <color rgb="FF2F5496"/>
        <sz val="10.0"/>
      </rPr>
      <t>Name: Project
Desciprtion: to late too many times
Publish Date: published date
Type: Cash 
Value: (20$)
Status: Publish
----
Name: Project
Desciprtion: to late too many times
Publish Date: published date
Type: Cash 
Value: (10$)
Status: Publish</t>
    </r>
  </si>
  <si>
    <t>View the discipline list</t>
  </si>
  <si>
    <r>
      <rPr/>
      <t xml:space="preserve">Login with Leader account
</t>
    </r>
    <r>
      <rPr>
        <rFont val="Arial"/>
        <i/>
        <color rgb="FF2F5496"/>
        <sz val="10.0"/>
      </rPr>
      <t>john1235</t>
    </r>
  </si>
  <si>
    <t>Verify that the user can discipline list was published by manager</t>
  </si>
  <si>
    <t>1. Go to discipline/Discipline
2. Expand Discipline</t>
  </si>
  <si>
    <t xml:space="preserve">All published disciplines is displayed
</t>
  </si>
  <si>
    <r>
      <rPr>
        <rFont val="Arial"/>
        <sz val="10.0"/>
      </rPr>
      <t>First record:</t>
    </r>
    <r>
      <rPr>
        <rFont val="Arial"/>
        <i/>
        <color rgb="FF2F5496"/>
        <sz val="10.0"/>
      </rPr>
      <t xml:space="preserve">
Name: Project
Publish Date: published date
Value: Cash (40$)
Number of person: 2
Status: Publish
----
Name: Project
Desciprtion: to late too many times
Publish Date: published date
Value: Cash (10$)
Number of person: 1
Status: Publish</t>
    </r>
  </si>
  <si>
    <t>Search the discipline list</t>
  </si>
  <si>
    <r>
      <rPr/>
      <t xml:space="preserve">Login with Leader account
</t>
    </r>
    <r>
      <rPr>
        <rFont val="Arial"/>
        <i/>
        <color rgb="FF2F5496"/>
        <sz val="10.0"/>
      </rPr>
      <t>john1235</t>
    </r>
  </si>
  <si>
    <t>Verify that the uuser can search discipline info of a employee</t>
  </si>
  <si>
    <t>1. At discipline list
2. Input employee name
marry
3. Click search</t>
  </si>
  <si>
    <r>
      <rPr/>
      <t xml:space="preserve">The application shows all disciplines that employee is received
Two record with detail info
</t>
    </r>
    <r>
      <rPr>
        <rFont val="Arial"/>
        <i/>
        <color rgb="FF2F5496"/>
        <sz val="10.0"/>
      </rPr>
      <t>Name: Project
Publish Date: published date
Value: Cash (40$)
Number of person: 2
Status: Publish
----
Name: Project
Desciprtion: to late too many times
Publish Date: published date
Value: Cash (10$)
Number of person: 1
Status: Publish</t>
    </r>
  </si>
  <si>
    <r>
      <rPr/>
      <t xml:space="preserve">Login with HR account
</t>
    </r>
    <r>
      <rPr>
        <rFont val="Arial"/>
        <i/>
        <color rgb="FF2F5496"/>
        <sz val="10.0"/>
      </rPr>
      <t>hr</t>
    </r>
  </si>
  <si>
    <r>
      <rPr/>
      <t xml:space="preserve">All published disciplines is displayed
</t>
    </r>
    <r>
      <rPr>
        <rFont val="Arial"/>
        <i/>
        <color rgb="FF2F5496"/>
        <sz val="10.0"/>
      </rPr>
      <t>Name: Project
Publish Date: published date
Value: Cash (40$)
Number of person: 2
Status: Publish
----
Name: Project
Desciprtion: to late too many times
Publish Date: published date
Value: Cash (10$)
Number of person: 1
Status: Publish</t>
    </r>
  </si>
  <si>
    <r>
      <rPr>
        <rFont val="Arial"/>
        <sz val="10.0"/>
      </rPr>
      <t>First record:</t>
    </r>
    <r>
      <rPr>
        <rFont val="Arial"/>
        <i/>
        <color rgb="FF2F5496"/>
        <sz val="10.0"/>
      </rPr>
      <t xml:space="preserve">
Name: Project
Desciprtion: to late too many times
Employee list
- Marry: cash, 20$
- Johnson: cash, 20$
</t>
    </r>
    <r>
      <rPr>
        <rFont val="Arial"/>
        <sz val="10.0"/>
      </rPr>
      <t>Second record</t>
    </r>
    <r>
      <rPr>
        <rFont val="Arial"/>
        <i/>
        <color rgb="FF2F5496"/>
        <sz val="10.0"/>
      </rPr>
      <t xml:space="preserve">
Name: Project
Desciprtion: to late too many times
Employee list
- Marry: cash, 10$</t>
    </r>
  </si>
  <si>
    <r>
      <rPr/>
      <t xml:space="preserve">The application shows all disciplines that employee is received
Two record with detail info
</t>
    </r>
    <r>
      <rPr>
        <rFont val="Arial"/>
        <i/>
        <color rgb="FF2F5496"/>
        <sz val="10.0"/>
      </rPr>
      <t>Name: Project
Publish Date: published date
Value: Cash (40$)
Number of person: 2
Status: Publish
----
Name: Project
Desciprtion: to late too many times
Publish Date: published date
Value: Cash (20$)
Number of person: 1
Status: Publish</t>
    </r>
  </si>
  <si>
    <t>Verify that the user can change status of the discipline</t>
  </si>
  <si>
    <t>1. At discipline list
2. Check done at first rescord 
3. Confirm Yes</t>
  </si>
  <si>
    <t>Status of the discipline is changed from Publish to Completed</t>
  </si>
  <si>
    <t>View discipline from profile</t>
  </si>
  <si>
    <r>
      <rPr/>
      <t xml:space="preserve">Login with HR account
</t>
    </r>
    <r>
      <rPr>
        <rFont val="Arial"/>
        <i/>
        <color rgb="FF2F5496"/>
        <sz val="10.0"/>
      </rPr>
      <t>hr1240</t>
    </r>
  </si>
  <si>
    <t>Vetify that HR can view the discipline from employee profile</t>
  </si>
  <si>
    <r>
      <rPr>
        <rFont val="Arial"/>
        <sz val="10.0"/>
      </rPr>
      <t>The application shows two record</t>
    </r>
    <r>
      <rPr>
        <rFont val="Arial"/>
        <i/>
        <color rgb="FF2F5496"/>
        <sz val="10.0"/>
      </rPr>
      <t xml:space="preserve">
Name: Project
Desciprtion: to late too many times
Publish Date: published date
Type: Cash 
Value: (20$)
Status: Publish
----
Name: Project
Desciprtion: to late too many times
Publish Date: published date
Type: Cash 
Value: (10$)
Status: Completed</t>
    </r>
  </si>
  <si>
    <t>6. Working time</t>
  </si>
  <si>
    <t>Config holidays and leave balance</t>
  </si>
  <si>
    <t>Assuming that, 
- yearly has 9 days national holidays
- Employees who work for 1 year or more have 12 days  / year
- Employees working from 5 years or more, 14 days / year
- Employees begin contract &lt;1 year, leave balance = 12 - month starts work  +1
- Probation contract no vacation days
****Seniority = current - joindate*****</t>
  </si>
  <si>
    <t>Standard leave</t>
  </si>
  <si>
    <t>Config leave balance</t>
  </si>
  <si>
    <t>Verify that the user can setting leave balance for employees</t>
  </si>
  <si>
    <t xml:space="preserve">1. Go to configuration
2. Click leave balance
</t>
  </si>
  <si>
    <r>
      <rPr/>
      <t xml:space="preserve">1. The application will automatically calculate and display the leave balance of each employee
Include:
1. Marry - employee
Id:1234: 
</t>
    </r>
    <r>
      <rPr>
        <rFont val="Arial"/>
        <i/>
        <color rgb="FF2F5496"/>
        <sz val="10.0"/>
      </rPr>
      <t>join date: 01/01/2018
Type: full- time probation
leave balance: 0 days</t>
    </r>
    <r>
      <rPr>
        <rFont val="Arial"/>
        <sz val="10.0"/>
      </rPr>
      <t xml:space="preserve">
2. Johnson - leader
ID: 1235
Name: Johnson
</t>
    </r>
    <r>
      <rPr>
        <rFont val="Arial"/>
        <i/>
        <color rgb="FF2F5496"/>
        <sz val="10.0"/>
      </rPr>
      <t>Type: full- time contract
join date: 01/01/2017
Leave balance: 12 days</t>
    </r>
    <r>
      <rPr>
        <rFont val="Arial"/>
        <sz val="10.0"/>
      </rPr>
      <t xml:space="preserve">
3. leader1
ID: 1237
Name: leader1
Supervisor: manager1
</t>
    </r>
    <r>
      <rPr>
        <rFont val="Arial"/>
        <i/>
        <color rgb="FF2F5496"/>
        <sz val="10.0"/>
      </rPr>
      <t>Type: full- time contract
join date: 01/01/2018
Leave balance: 1 days</t>
    </r>
    <r>
      <rPr>
        <rFont val="Arial"/>
        <sz val="10.0"/>
      </rPr>
      <t xml:space="preserve">
4. Manager1
ID: 1238
Name: Manager1
</t>
    </r>
    <r>
      <rPr>
        <rFont val="Arial"/>
        <i/>
        <color rgb="FF2F5496"/>
        <sz val="10.0"/>
      </rPr>
      <t>Type: full- time permanent
join date: 01/01/2014
Leave balance: 12 days</t>
    </r>
    <r>
      <rPr>
        <rFont val="Arial"/>
        <sz val="10.0"/>
      </rPr>
      <t xml:space="preserve">
5. hr
ID: 1239
Name: hr
</t>
    </r>
    <r>
      <rPr>
        <rFont val="Arial"/>
        <i/>
        <color rgb="FF2F5496"/>
        <sz val="10.0"/>
      </rPr>
      <t>Type: full- time contract
join date: 01/01/2013
Leave balance: 14 days</t>
    </r>
    <r>
      <rPr>
        <rFont val="Arial"/>
        <sz val="10.0"/>
      </rPr>
      <t xml:space="preserve">
6. Trainer
ID: 1240
Employee Name: trainer
</t>
    </r>
    <r>
      <rPr>
        <rFont val="Arial"/>
        <i/>
        <color rgb="FF2F5496"/>
        <sz val="10.0"/>
      </rPr>
      <t>Type: full- time contract
join date: 01/01/2016
Leave balance: 12 days</t>
    </r>
    <r>
      <rPr>
        <rFont val="Arial"/>
        <sz val="10.0"/>
      </rPr>
      <t xml:space="preserve">
7. Employee
Username: emp1241
Employee Name: employee
Supervisor: johnson
</t>
    </r>
    <r>
      <rPr>
        <rFont val="Arial"/>
        <i/>
        <color rgb="FF2F5496"/>
        <sz val="10.0"/>
      </rPr>
      <t>Type: part- time contract
join date: 01/01/2018
Leave balance: 1 days</t>
    </r>
    <r>
      <rPr>
        <rFont val="Arial"/>
        <sz val="10.0"/>
      </rPr>
      <t xml:space="preserve">
8. Manager2
Id:1242
Name: manager2
</t>
    </r>
    <r>
      <rPr>
        <rFont val="Arial"/>
        <i/>
        <color rgb="FF2F5496"/>
        <sz val="10.0"/>
      </rPr>
      <t>Type: full- time permanent
join date: 01/01/2012
Leave balance: 14 days</t>
    </r>
  </si>
  <si>
    <t>Search the configuration info</t>
  </si>
  <si>
    <t>Verify that the user can search data that the user need</t>
  </si>
  <si>
    <t>3. Input search condition
4. Click search</t>
  </si>
  <si>
    <t>The application shows records match with search condition</t>
  </si>
  <si>
    <t>Edit leave balance</t>
  </si>
  <si>
    <t>Verify that the user can edit leave balance</t>
  </si>
  <si>
    <t>1. Go to configuration
2. Click leave balance
3. Click edit at the second record: johnson
3. Edit leave balance
12--&gt;10 days</t>
  </si>
  <si>
    <t xml:space="preserve">The info is saved and is updated in leave balance list successful
</t>
  </si>
  <si>
    <t>Holidays</t>
  </si>
  <si>
    <t>Config holidays</t>
  </si>
  <si>
    <t>Verify that the user can add holiday</t>
  </si>
  <si>
    <r>
      <rPr/>
      <t xml:space="preserve">1. Go to configuration
2. Click Holidays
3. Click Create
4. Input info:
</t>
    </r>
    <r>
      <rPr>
        <rFont val="Arial"/>
        <color rgb="FF2F5496"/>
        <sz val="10.0"/>
      </rPr>
      <t xml:space="preserve">- Merry chrismast
- Choose full-day
- date: 24/12/2017
- Check Repeat annually
</t>
    </r>
    <r>
      <rPr>
        <rFont val="Arial"/>
        <color rgb="FF000000"/>
        <sz val="10.0"/>
      </rPr>
      <t>5. Click Save</t>
    </r>
  </si>
  <si>
    <t xml:space="preserve">Holiday list is added one record: 
name: Merry christmast
date: 24/12/2017
Full Day/Haft day: full day
Repeat annualy: Yes
</t>
  </si>
  <si>
    <t>Edit holidays</t>
  </si>
  <si>
    <t>Verify that the user can edit holiday</t>
  </si>
  <si>
    <r>
      <rPr/>
      <t xml:space="preserve">1. Go to configuration
2. Click Holidays
3. Click Edit the first record (merry chrismast)
4. Input info:
</t>
    </r>
    <r>
      <rPr>
        <rFont val="Arial"/>
        <color rgb="FF2F5496"/>
        <sz val="10.0"/>
      </rPr>
      <t xml:space="preserve">- Merry chrismast
- Choose full-day
- Start date: 25/12/2017
- End date: 25/12/2017
- Check Repeat annually
</t>
    </r>
    <r>
      <rPr>
        <rFont val="Arial"/>
        <color rgb="FF000000"/>
        <sz val="10.0"/>
      </rPr>
      <t>5. Click Save</t>
    </r>
  </si>
  <si>
    <r>
      <rPr/>
      <t>Holiday list is updated one record: 
N</t>
    </r>
    <r>
      <rPr>
        <rFont val="Arial"/>
        <i/>
        <color rgb="FF2F5496"/>
        <sz val="10.0"/>
      </rPr>
      <t>ame: Merry christmast
Start Date: 25/12/2017
End Date: 25/12/2017
Full Day/ Haft day: full day
Repeat annualy: Yes</t>
    </r>
    <r>
      <rPr>
        <rFont val="Arial"/>
        <sz val="10.0"/>
      </rPr>
      <t xml:space="preserve">
</t>
    </r>
  </si>
  <si>
    <t>View holidays</t>
  </si>
  <si>
    <t>Login on web with acc
user: hr
pass: default
- Created holidays</t>
  </si>
  <si>
    <t>Verify that the user can view holidays</t>
  </si>
  <si>
    <t xml:space="preserve">1. Go to configuration
2. Click Holidays
</t>
  </si>
  <si>
    <r>
      <rPr/>
      <t xml:space="preserve">The application shows 6 records:
</t>
    </r>
    <r>
      <rPr>
        <rFont val="Arial"/>
        <i/>
        <color rgb="FF2F5496"/>
        <sz val="10.0"/>
      </rPr>
      <t>Name: Merry christmast
Start Date: 25/12/2017
End Date: 25/12/2017
Full Day/ Haft day: full day
Repeat annualy: Yes
---
Name: New year
Start Date: 30/12/2017
End Date: 03/01/2018
Full Day/ Haft day: Full day
Repeat annualy: Yes
---
Name: National Day
Start Date: 11/02/2018
End Date: 11/02/2018
Full Day/ Haft day: Full day
Repeat annualy: Yes
---
Name: Spring Day
Start Date: 20/03/2018
End Date: 20/03/2018
Full Day/ Haft day: Full day
Repeat annualy: Yes
---
Name: Golden week
Start Date: 29/04/2018
End Date:  05/05/2018
Full Day/ Haft day: Full day
Repeat annualy: yes
---
Name: Japanese Emperor's birthday
Start Date: 23/12/2018
End Date:  23/12/2018
Full Day/ Haft day: Full day
Repeat annualy: yes</t>
    </r>
  </si>
  <si>
    <t>View holidays in calendar</t>
  </si>
  <si>
    <t>Login on web/ mobile with any role</t>
  </si>
  <si>
    <t>Verify that the holidays is highlighted in calendar</t>
  </si>
  <si>
    <t>1. Go to timesheet
2. Click next/ previous to choose week contain holidays</t>
  </si>
  <si>
    <t>The holidays in week will be highlighted</t>
  </si>
  <si>
    <t>1. Go to Dashboard
2. Click next/ previous to choose month</t>
  </si>
  <si>
    <t>The holidays in month will be highlighted</t>
  </si>
  <si>
    <t>Login on mobile with any role</t>
  </si>
  <si>
    <t>1. Go to My attendance
2. Click next/ previous to choose month</t>
  </si>
  <si>
    <t>compensatory leave</t>
  </si>
  <si>
    <t>View compensatory leave</t>
  </si>
  <si>
    <t>Verify that the user can view compensatory leave is updated from reward</t>
  </si>
  <si>
    <t xml:space="preserve">1. Go to configuration 
2. Click compensatory leave
</t>
  </si>
  <si>
    <t>The application shows one record:
ID: 1235
Name: johnson
compensatory leave (days): 3 
Reference: the reward link</t>
  </si>
  <si>
    <t xml:space="preserve">3. Click link reference </t>
  </si>
  <si>
    <t>The application open Reward detail screen</t>
  </si>
  <si>
    <t>Config work shift</t>
  </si>
  <si>
    <t>Create shift work</t>
  </si>
  <si>
    <t>Login on web with HR acc
user: hr
pass: default</t>
  </si>
  <si>
    <t>Verify that the user can create work shift</t>
  </si>
  <si>
    <r>
      <rPr/>
      <t xml:space="preserve">1. Go to cofiguration
2. Click  work shift
3. Input info:
</t>
    </r>
    <r>
      <rPr>
        <rFont val="Arial"/>
        <i/>
        <color rgb="FF2F5496"/>
        <sz val="10.0"/>
      </rPr>
      <t>- Name: General
- Start Time: 07:30
- End Time: 17:00
- Start break: 12:00
- End break: 13:30 h
- Start OT: 18:01</t>
    </r>
    <r>
      <rPr>
        <rFont val="Arial"/>
        <sz val="10.0"/>
      </rPr>
      <t xml:space="preserve">
4. Click save</t>
    </r>
  </si>
  <si>
    <r>
      <rPr/>
      <t xml:space="preserve">The info is saved successful
A record is added in list
</t>
    </r>
    <r>
      <rPr>
        <rFont val="Arial"/>
        <i/>
        <color rgb="FF2F5496"/>
        <sz val="10.0"/>
      </rPr>
      <t>- Name: General
- Start Time: 07:30
- End Time: 17:00
- Full hours :  8h 
- Lunch break: 1.5h
- Start OT: 18:01</t>
    </r>
  </si>
  <si>
    <t>Edit shift work</t>
  </si>
  <si>
    <t>Verify that the user can edit work shift info</t>
  </si>
  <si>
    <t>1. Go to cofiguration
2. Click  work shift
3. Click Edit in the first record ( General)</t>
  </si>
  <si>
    <r>
      <rPr/>
      <t xml:space="preserve">3. Edit screen is displayed with available info:
</t>
    </r>
    <r>
      <rPr>
        <rFont val="Arial"/>
        <i/>
        <color rgb="FF2F5496"/>
        <sz val="10.0"/>
      </rPr>
      <t>- Name: General
- Start Time: 07:30
- End Time: 17:30
- Lunch break: 1.5h
- Start OT: 18:01</t>
    </r>
  </si>
  <si>
    <r>
      <rPr/>
      <t xml:space="preserve">4. Edit data
</t>
    </r>
    <r>
      <rPr>
        <rFont val="Arial"/>
        <i/>
        <color rgb="FF2F5496"/>
        <sz val="10.0"/>
      </rPr>
      <t xml:space="preserve">- Name: General
- Start Time: 08:00
- End Time: 17:30
- Start break: 12:00
- End break: 13:30 h
- Start OT: 18:01
</t>
    </r>
    <r>
      <rPr>
        <rFont val="Arial"/>
        <sz val="10.0"/>
      </rPr>
      <t xml:space="preserve">5. Click Save
</t>
    </r>
  </si>
  <si>
    <r>
      <rPr/>
      <t xml:space="preserve">The info is updated in list
</t>
    </r>
    <r>
      <rPr>
        <rFont val="Arial"/>
        <i/>
        <color rgb="FF2F5496"/>
        <sz val="10.0"/>
      </rPr>
      <t>- Name: General
- Start Time: 08:00
- End Time: 17:30
- Full hours :  8h 
- Lunch break: 1.5h
- Start OT: 18:01</t>
    </r>
  </si>
  <si>
    <t>Time off</t>
  </si>
  <si>
    <t>View My time off list</t>
  </si>
  <si>
    <r>
      <rPr/>
      <t xml:space="preserve">Login with Employee role 
</t>
    </r>
    <r>
      <rPr>
        <rFont val="Arial"/>
        <color rgb="FF3D85C6"/>
        <sz val="10.0"/>
      </rPr>
      <t>marry1234</t>
    </r>
  </si>
  <si>
    <r>
      <rPr/>
      <t xml:space="preserve">Verify that employee can </t>
    </r>
    <r>
      <rPr>
        <rFont val="Arial"/>
        <b/>
        <sz val="10.0"/>
      </rPr>
      <t xml:space="preserve">View </t>
    </r>
    <r>
      <rPr>
        <rFont val="Arial"/>
        <color rgb="FF000000"/>
        <sz val="10.0"/>
      </rPr>
      <t>their time off list successfully</t>
    </r>
  </si>
  <si>
    <t>1. In the homepage tap on My Time off button</t>
  </si>
  <si>
    <t>The application shows "No record"</t>
  </si>
  <si>
    <t>Create Time off request</t>
  </si>
  <si>
    <r>
      <rPr/>
      <t xml:space="preserve">Login with Employee role 
Type= probation
account:
</t>
    </r>
    <r>
      <rPr>
        <rFont val="Arial"/>
        <color rgb="FF3D85C6"/>
        <sz val="10.0"/>
      </rPr>
      <t>marry1234</t>
    </r>
  </si>
  <si>
    <r>
      <rPr/>
      <t xml:space="preserve">Verify that employee can </t>
    </r>
    <r>
      <rPr>
        <rFont val="Arial"/>
        <b/>
        <sz val="10.0"/>
      </rPr>
      <t xml:space="preserve">create </t>
    </r>
    <r>
      <rPr>
        <rFont val="Arial"/>
        <color rgb="FF000000"/>
        <sz val="10.0"/>
      </rPr>
      <t>the time off request successfully</t>
    </r>
  </si>
  <si>
    <r>
      <rPr/>
      <t xml:space="preserve">1. Go to create time off request screen
2. Input require data
</t>
    </r>
    <r>
      <rPr>
        <rFont val="Arial"/>
        <i/>
        <color rgb="FF2F5496"/>
        <sz val="10.0"/>
      </rPr>
      <t>Leave type: Unpaid
Name: marry1234
Leave type: Unpaid
Start day: 10/01/2018
End day: 10/01/2018
Start hour: 8:00 AM
End hour: 17:30 PM
Comment: Persional master
Approver: leader1</t>
    </r>
    <r>
      <rPr>
        <rFont val="Arial"/>
        <sz val="10.0"/>
      </rPr>
      <t xml:space="preserve">
3. Tap on Save button</t>
    </r>
  </si>
  <si>
    <r>
      <rPr/>
      <t xml:space="preserve">A request is  created with draft status.
The request have following information: </t>
    </r>
    <r>
      <rPr>
        <rFont val="Arial"/>
        <i/>
        <color rgb="FF2F5496"/>
        <sz val="10.0"/>
      </rPr>
      <t xml:space="preserve">
Leave type: Unpaid
From: 10/01/2018
To: 10/01/2018
Create on: current date
Number of days: 1 days
Comment: Persional master
Leave balance(days): 0 
Status: Draft</t>
    </r>
    <r>
      <rPr>
        <rFont val="Arial"/>
        <sz val="10.0"/>
      </rPr>
      <t xml:space="preserve">
Make sure that Trial_Employee just can be choose the Unpaid type</t>
    </r>
  </si>
  <si>
    <r>
      <rPr/>
      <t xml:space="preserve">Login with Employee account
Type = part-time
</t>
    </r>
    <r>
      <rPr>
        <rFont val="Arial"/>
        <color rgb="FF3D85C6"/>
        <sz val="10.0"/>
      </rPr>
      <t>emp1241</t>
    </r>
  </si>
  <si>
    <r>
      <rPr/>
      <t xml:space="preserve">Verify that employee can </t>
    </r>
    <r>
      <rPr>
        <rFont val="Arial"/>
        <b/>
        <sz val="10.0"/>
      </rPr>
      <t xml:space="preserve">create </t>
    </r>
    <r>
      <rPr>
        <rFont val="Arial"/>
        <color rgb="FF000000"/>
        <sz val="10.0"/>
      </rPr>
      <t>the time off request successfully</t>
    </r>
  </si>
  <si>
    <r>
      <rPr/>
      <t xml:space="preserve">1. Go to create time off request screen
2. Input require data
</t>
    </r>
    <r>
      <rPr>
        <rFont val="Arial"/>
        <i/>
        <color rgb="FF2F5496"/>
        <sz val="10.0"/>
      </rPr>
      <t>Leave type: sick- leave
Name: employee
Start day: 1/1/2018
From day: 2/1/018
Start hour: 8:00 AM
End hour: 17:30 PM
Comment: Persional master
Approver: johnson</t>
    </r>
    <r>
      <rPr>
        <rFont val="Arial"/>
        <sz val="10.0"/>
      </rPr>
      <t xml:space="preserve">
3. Tap on Save button</t>
    </r>
  </si>
  <si>
    <r>
      <rPr/>
      <t xml:space="preserve">A request is  created with draft status.
The request have following information: </t>
    </r>
    <r>
      <rPr>
        <rFont val="Arial"/>
        <i/>
        <color rgb="FF2F5496"/>
        <sz val="10.0"/>
      </rPr>
      <t xml:space="preserve">
Leave type: sick-leave
From: 1/1/2018
To: 2/1/018
Create on: current date
Number of days: 2days
Comment: Persional master
Leave balance (days): 1
Status: Draft</t>
    </r>
    <r>
      <rPr>
        <rFont val="Arial"/>
        <sz val="10.0"/>
      </rPr>
      <t xml:space="preserve">
Employee can be choose the all type of time off request</t>
    </r>
  </si>
  <si>
    <t>Create and send a time off request</t>
  </si>
  <si>
    <t>Login with employee account
Johnson1235</t>
  </si>
  <si>
    <t>Verify that the user can create and send the time off request to supervisor</t>
  </si>
  <si>
    <r>
      <rPr/>
      <t>1. Go to create time off request screen
2. Input require data</t>
    </r>
    <r>
      <rPr>
        <rFont val="Arial"/>
        <i/>
        <color rgb="FF2F5496"/>
        <sz val="10.0"/>
      </rPr>
      <t xml:space="preserve">
Name: leader1
Leave type: sick-leave
Start day: 1/1/2018
From day: 2/1/018
Start hour: 8:00 AM
End hour: 17:30 PM
Comment: Persional master
Approver: manager1</t>
    </r>
    <r>
      <rPr>
        <rFont val="Arial"/>
        <sz val="10.0"/>
      </rPr>
      <t xml:space="preserve">
3. Tap on Submit button</t>
    </r>
  </si>
  <si>
    <r>
      <rPr/>
      <t xml:space="preserve">A request is created and sent to approver. Only the approver is chosen can see this request
My time off list has one record
</t>
    </r>
    <r>
      <rPr>
        <rFont val="Arial"/>
        <i/>
        <color rgb="FF2F5496"/>
        <sz val="10.0"/>
      </rPr>
      <t>Leave type: sick-leave
From: 1/1/2018
To: 2/1/018
Create on: current date
Number of days: 2 days
Comment: Persional master
Leave balance (days): 1
Status: Pending approval</t>
    </r>
  </si>
  <si>
    <t>Edit Time off request</t>
  </si>
  <si>
    <r>
      <rPr/>
      <t xml:space="preserve">Login with Employee account
</t>
    </r>
    <r>
      <rPr>
        <rFont val="Arial"/>
        <color rgb="FF3D85C6"/>
        <sz val="10.0"/>
      </rPr>
      <t xml:space="preserve">marry1234
</t>
    </r>
    <r>
      <rPr>
        <rFont val="Arial"/>
        <color rgb="FF000000"/>
        <sz val="10.0"/>
      </rPr>
      <t>Create and save draft a Time off request</t>
    </r>
  </si>
  <si>
    <r>
      <rPr/>
      <t xml:space="preserve">Verify that employee can </t>
    </r>
    <r>
      <rPr>
        <rFont val="Arial"/>
        <b/>
        <sz val="10.0"/>
      </rPr>
      <t xml:space="preserve">edit </t>
    </r>
    <r>
      <rPr>
        <rFont val="Arial"/>
        <color rgb="FF000000"/>
        <sz val="10.0"/>
      </rPr>
      <t>the time off request successfully</t>
    </r>
  </si>
  <si>
    <r>
      <rPr/>
      <t xml:space="preserve">1.Open the draft request
2. Edit some information:
</t>
    </r>
    <r>
      <rPr>
        <rFont val="Arial"/>
        <i/>
        <color rgb="FF0B5394"/>
        <sz val="10.0"/>
      </rPr>
      <t xml:space="preserve">Start day: from: 11/01/2018 
From day: from 11/01/018
Start hour: 8:00 AM 
End hour: 12:00 AM
Comment: Persional master
</t>
    </r>
    <r>
      <rPr>
        <rFont val="Arial"/>
        <color rgb="FF000000"/>
        <sz val="10.0"/>
      </rPr>
      <t xml:space="preserve">3, Tao on </t>
    </r>
    <r>
      <rPr>
        <rFont val="Arial"/>
        <b/>
        <sz val="10.0"/>
      </rPr>
      <t xml:space="preserve">Save </t>
    </r>
    <r>
      <rPr>
        <rFont val="Arial"/>
        <color rgb="FF000000"/>
        <sz val="10.0"/>
      </rPr>
      <t xml:space="preserve">button </t>
    </r>
  </si>
  <si>
    <t>This reques was edit successfully.
List Time off request display
Info of new request was changed in the list.
Employee just can be edit the draff type of time off request</t>
  </si>
  <si>
    <t>Apply Time off request</t>
  </si>
  <si>
    <r>
      <rPr/>
      <t xml:space="preserve">Login with Employee account
</t>
    </r>
    <r>
      <rPr>
        <rFont val="Arial"/>
        <color rgb="FF3D85C6"/>
        <sz val="10.0"/>
      </rPr>
      <t>marry1234</t>
    </r>
  </si>
  <si>
    <r>
      <rPr/>
      <t xml:space="preserve">Verify that employee can </t>
    </r>
    <r>
      <rPr>
        <rFont val="Arial"/>
        <b/>
        <sz val="10.0"/>
      </rPr>
      <t xml:space="preserve">apply </t>
    </r>
    <r>
      <rPr>
        <rFont val="Arial"/>
        <color rgb="FF000000"/>
        <sz val="10.0"/>
      </rPr>
      <t>the time off request successfully</t>
    </r>
  </si>
  <si>
    <r>
      <rPr/>
      <t xml:space="preserve">1. At My time off list, click action icon
2. Tab on send button </t>
    </r>
    <r>
      <rPr>
        <rFont val="Arial"/>
        <i/>
        <color rgb="FF0B5394"/>
        <sz val="10.0"/>
      </rPr>
      <t xml:space="preserve">
</t>
    </r>
    <r>
      <rPr>
        <rFont val="Arial"/>
        <color rgb="FF000000"/>
        <sz val="10.0"/>
      </rPr>
      <t>3. Click No</t>
    </r>
  </si>
  <si>
    <t>2. The application shows popup confirm 
3. The confirm popup is closed the request can not send</t>
  </si>
  <si>
    <t>4. Close confỉm popup
The request is sent to approver is chosen
Status request is changed from draft to pending approval</t>
  </si>
  <si>
    <t>Delete Time off Draft request</t>
  </si>
  <si>
    <r>
      <rPr/>
      <t xml:space="preserve">Login with Employee account
</t>
    </r>
    <r>
      <rPr>
        <rFont val="Arial"/>
        <i/>
        <color rgb="FF2F5496"/>
        <sz val="10.0"/>
      </rPr>
      <t>emp1241</t>
    </r>
    <r>
      <rPr>
        <rFont val="Arial"/>
        <color rgb="FF3D85C6"/>
        <sz val="10.0"/>
      </rPr>
      <t xml:space="preserve">
</t>
    </r>
  </si>
  <si>
    <r>
      <rPr/>
      <t xml:space="preserve">Verify that employee can </t>
    </r>
    <r>
      <rPr>
        <rFont val="Arial"/>
        <b/>
        <sz val="10.0"/>
      </rPr>
      <t xml:space="preserve">delete </t>
    </r>
    <r>
      <rPr>
        <rFont val="Arial"/>
        <color rgb="FF000000"/>
        <sz val="10.0"/>
      </rPr>
      <t>the time off draft request successfully</t>
    </r>
  </si>
  <si>
    <t>1. Open the draft request
2. Tap on delete button
3. Tap on YES button to confirm</t>
  </si>
  <si>
    <t>The request was deleted successfully
The request was removed from the request list
Employee just can be delete the draff type of time off request</t>
  </si>
  <si>
    <t>Receive the Time off request notification</t>
  </si>
  <si>
    <r>
      <rPr/>
      <t xml:space="preserve">Login with Leader account
</t>
    </r>
    <r>
      <rPr>
        <rFont val="Arial"/>
        <i/>
        <color rgb="FF1155CC"/>
        <sz val="10.0"/>
      </rPr>
      <t>leader11237</t>
    </r>
  </si>
  <si>
    <r>
      <rPr/>
      <t xml:space="preserve">Verify that Leader can </t>
    </r>
    <r>
      <rPr>
        <rFont val="Arial"/>
        <b/>
        <sz val="10.0"/>
      </rPr>
      <t>receive</t>
    </r>
    <r>
      <rPr>
        <rFont val="Arial"/>
        <color rgb="FF000000"/>
        <sz val="10.0"/>
      </rPr>
      <t xml:space="preserve"> the notification from sever when have request from their employee</t>
    </r>
  </si>
  <si>
    <r>
      <rPr/>
      <t>1. Go to Home page</t>
    </r>
    <r>
      <rPr>
        <rFont val="Arial"/>
        <i/>
        <color rgb="FF2F5496"/>
        <sz val="10.0"/>
      </rPr>
      <t xml:space="preserve">
</t>
    </r>
    <r>
      <rPr>
        <rFont val="Arial"/>
        <color rgb="FF000000"/>
        <sz val="10.0"/>
      </rPr>
      <t xml:space="preserve">2. Check the notice number in the request icon in the top of screen
</t>
    </r>
  </si>
  <si>
    <t xml:space="preserve">Number increase 1 in the request notifycation icon.
</t>
  </si>
  <si>
    <t>View the Time off request</t>
  </si>
  <si>
    <r>
      <rPr/>
      <t xml:space="preserve">Login with Leader account
</t>
    </r>
    <r>
      <rPr>
        <rFont val="Arial"/>
        <i/>
        <color rgb="FF1155CC"/>
        <sz val="10.0"/>
      </rPr>
      <t>leader11237</t>
    </r>
  </si>
  <si>
    <r>
      <rPr/>
      <t xml:space="preserve">Verify that Leader can </t>
    </r>
    <r>
      <rPr>
        <rFont val="Arial"/>
        <b/>
        <sz val="10.0"/>
      </rPr>
      <t>open and view</t>
    </r>
    <r>
      <rPr>
        <rFont val="Arial"/>
        <color rgb="FF000000"/>
        <sz val="10.0"/>
      </rPr>
      <t xml:space="preserve"> the request list from request notifycation icon</t>
    </r>
  </si>
  <si>
    <t>1. Tap on the notification request icon</t>
  </si>
  <si>
    <r>
      <rPr/>
      <t xml:space="preserve">Request list has one record: 
</t>
    </r>
    <r>
      <rPr>
        <rFont val="Arial"/>
        <i/>
        <color rgb="FF2F5496"/>
        <sz val="10.0"/>
      </rPr>
      <t>name: marry
Leave type: Unpaid
From: 10/1/2018
To: 10/1/018
Create on: createdDate
Number of days: 0.5 days
Comment: Persional master
Leave balance (days): 0
Status: Pending approval</t>
    </r>
    <r>
      <rPr>
        <rFont val="Arial"/>
        <sz val="10.0"/>
      </rPr>
      <t xml:space="preserve">
The newest request display on the top</t>
    </r>
  </si>
  <si>
    <t>Approve the Time off request</t>
  </si>
  <si>
    <r>
      <rPr/>
      <t xml:space="preserve">Login with Leader account
</t>
    </r>
    <r>
      <rPr>
        <rFont val="Arial"/>
        <i/>
        <color rgb="FF1155CC"/>
        <sz val="10.0"/>
      </rPr>
      <t>leader11237</t>
    </r>
  </si>
  <si>
    <r>
      <rPr/>
      <t xml:space="preserve">Verify that Leader can </t>
    </r>
    <r>
      <rPr>
        <rFont val="Arial"/>
        <b/>
        <sz val="10.0"/>
      </rPr>
      <t xml:space="preserve">approve </t>
    </r>
    <r>
      <rPr>
        <rFont val="Arial"/>
        <color rgb="FF000000"/>
        <sz val="10.0"/>
      </rPr>
      <t xml:space="preserve">to request in list </t>
    </r>
  </si>
  <si>
    <r>
      <rPr/>
      <t xml:space="preserve">1. Tap on the reques that leader want to approve
</t>
    </r>
    <r>
      <rPr>
        <rFont val="Arial"/>
        <i/>
        <color rgb="FF2F5496"/>
        <sz val="10.0"/>
      </rPr>
      <t>Marry</t>
    </r>
    <r>
      <rPr>
        <rFont val="Arial"/>
        <sz val="10.0"/>
      </rPr>
      <t xml:space="preserve">
2. Tap on "+" button  to open two opption
3. Tap on "tick" button</t>
    </r>
  </si>
  <si>
    <r>
      <t xml:space="preserve">Cofirmation pop up display with to button OK and Cancel and message:
</t>
    </r>
    <r>
      <rPr>
        <i/>
        <color rgb="FF2F5496"/>
      </rPr>
      <t>"Do you want to Approve this request"</t>
    </r>
  </si>
  <si>
    <r>
      <rPr/>
      <t xml:space="preserve">1. Tap on </t>
    </r>
    <r>
      <rPr>
        <rFont val="Arial"/>
        <b/>
        <sz val="10.0"/>
      </rPr>
      <t xml:space="preserve">Cancel </t>
    </r>
    <r>
      <rPr>
        <rFont val="Arial"/>
        <color rgb="FF000000"/>
        <sz val="10.0"/>
      </rPr>
      <t>button</t>
    </r>
  </si>
  <si>
    <t>Confirmation pop up disappear
The request still display with Pending approval status</t>
  </si>
  <si>
    <r>
      <rPr/>
      <t xml:space="preserve">1. Tap on </t>
    </r>
    <r>
      <rPr>
        <rFont val="Arial"/>
        <b/>
        <sz val="10.0"/>
      </rPr>
      <t xml:space="preserve">OK </t>
    </r>
    <r>
      <rPr>
        <rFont val="Arial"/>
        <color rgb="FF000000"/>
        <sz val="10.0"/>
      </rPr>
      <t>button</t>
    </r>
  </si>
  <si>
    <t>The status of request change from pending to approved
This request is removed from wating request list
The number in request notification list is reduce 1</t>
  </si>
  <si>
    <t>View my time off list</t>
  </si>
  <si>
    <t>Login with acc marry1234</t>
  </si>
  <si>
    <t>Verify that the user can view change status in My time off list after the leader processed</t>
  </si>
  <si>
    <t>1. Go to My time off list
2. Observer the request</t>
  </si>
  <si>
    <t>The status of request change from pending to approved</t>
  </si>
  <si>
    <t>Reject the Time off request</t>
  </si>
  <si>
    <r>
      <rPr/>
      <t xml:space="preserve">Login with account
</t>
    </r>
    <r>
      <rPr>
        <rFont val="Arial"/>
        <i/>
        <color rgb="FF2F5496"/>
        <sz val="10.0"/>
      </rPr>
      <t>manager1238</t>
    </r>
  </si>
  <si>
    <r>
      <rPr/>
      <t>Verify that the user can reject</t>
    </r>
    <r>
      <rPr>
        <rFont val="Arial"/>
        <b/>
        <sz val="10.0"/>
      </rPr>
      <t xml:space="preserve"> </t>
    </r>
    <r>
      <rPr>
        <rFont val="Arial"/>
        <color rgb="FF000000"/>
        <sz val="10.0"/>
      </rPr>
      <t xml:space="preserve">a time off request in list </t>
    </r>
  </si>
  <si>
    <t>1. Go to Time off
2. Click approval</t>
  </si>
  <si>
    <r>
      <rPr/>
      <t xml:space="preserve">The application shows one record:
</t>
    </r>
    <r>
      <rPr>
        <rFont val="Arial"/>
        <i/>
        <color rgb="FF2F5496"/>
        <sz val="10.0"/>
      </rPr>
      <t>Name: johnson</t>
    </r>
    <r>
      <rPr>
        <rFont val="Arial"/>
        <sz val="10.0"/>
      </rPr>
      <t xml:space="preserve">
</t>
    </r>
    <r>
      <rPr>
        <rFont val="Arial"/>
        <i/>
        <color rgb="FF2F5496"/>
        <sz val="10.0"/>
      </rPr>
      <t xml:space="preserve">Leave type: sick-leave
From: 1/1/2018
To: 2/1/018
Create on: createdDate
Number of days: 2 days
Comment: Persional master
Leave balance (days): 1
Status: Pending approval
</t>
    </r>
    <r>
      <rPr>
        <rFont val="Arial"/>
        <sz val="10.0"/>
      </rPr>
      <t>The user can not see time off request that approver are not themselves</t>
    </r>
  </si>
  <si>
    <t>3. Tap on the reques that leader want to reject 
4. Tap on "+" button  to open two option
5. Tap on "x" button</t>
  </si>
  <si>
    <t>The reason reject textbox display</t>
  </si>
  <si>
    <r>
      <rPr/>
      <t xml:space="preserve">6. Input reason in the textbox:
</t>
    </r>
    <r>
      <rPr>
        <rFont val="Arial"/>
        <i/>
        <sz val="10.0"/>
      </rPr>
      <t>"</t>
    </r>
    <r>
      <rPr>
        <rFont val="Arial"/>
        <i/>
        <color rgb="FF2F5496"/>
        <sz val="10.0"/>
      </rPr>
      <t xml:space="preserve">Your Time off reason not clear"
</t>
    </r>
    <r>
      <rPr>
        <rFont val="Arial"/>
        <color rgb="FF000000"/>
        <sz val="10.0"/>
      </rPr>
      <t>7. Tap on Finish button</t>
    </r>
  </si>
  <si>
    <r>
      <t xml:space="preserve">Cofirmation pop up display with to button OK and Cancel and message:
</t>
    </r>
    <r>
      <rPr>
        <i/>
        <color rgb="FF2F5496"/>
      </rPr>
      <t>"Do you want to Reject this request"</t>
    </r>
  </si>
  <si>
    <r>
      <rPr/>
      <t xml:space="preserve">8. Tap on </t>
    </r>
    <r>
      <rPr>
        <rFont val="Arial"/>
        <b/>
        <sz val="10.0"/>
      </rPr>
      <t xml:space="preserve">Cancel </t>
    </r>
    <r>
      <rPr>
        <rFont val="Arial"/>
        <color rgb="FF000000"/>
        <sz val="10.0"/>
      </rPr>
      <t>button</t>
    </r>
  </si>
  <si>
    <r>
      <rPr/>
      <t xml:space="preserve">8. Tap on </t>
    </r>
    <r>
      <rPr>
        <rFont val="Arial"/>
        <b/>
        <sz val="10.0"/>
      </rPr>
      <t xml:space="preserve">OK </t>
    </r>
    <r>
      <rPr>
        <rFont val="Arial"/>
        <color rgb="FF000000"/>
        <sz val="10.0"/>
      </rPr>
      <t>button</t>
    </r>
  </si>
  <si>
    <t>The status of request change from waiting to rejected
This request is removed from waiting tab and moved to Rejeted tab
The number in request notification list is reduce 1</t>
  </si>
  <si>
    <t>View timeoff list of all employees</t>
  </si>
  <si>
    <r>
      <rPr/>
      <t xml:space="preserve">Login with HR account: </t>
    </r>
    <r>
      <rPr>
        <rFont val="Arial"/>
        <i/>
        <color rgb="FF2F5496"/>
        <sz val="10.0"/>
      </rPr>
      <t>hr</t>
    </r>
  </si>
  <si>
    <t>Verify that HR can view the timeoff list of all employees</t>
  </si>
  <si>
    <t xml:space="preserve">1. Go to employee
2. Click Time off list
3. Input search condition
Name: ma
Department: Delivery room
4. Click Search
</t>
  </si>
  <si>
    <r>
      <rPr/>
      <t xml:space="preserve">The application shows two records:
</t>
    </r>
    <r>
      <rPr>
        <rFont val="Arial"/>
        <i/>
        <color rgb="FF2F5496"/>
        <sz val="10.0"/>
      </rPr>
      <t>ID:1234
Name: Marry
Leave days(days): 2
Balance day(days): 0</t>
    </r>
    <r>
      <rPr>
        <rFont val="Arial"/>
        <sz val="10.0"/>
      </rPr>
      <t xml:space="preserve">
----
</t>
    </r>
    <r>
      <rPr>
        <rFont val="Arial"/>
        <i/>
        <color rgb="FF2F5496"/>
        <sz val="10.0"/>
      </rPr>
      <t>ID:1238
Name: manager 1
Leave days(days): 0 
Balance day(days): 12</t>
    </r>
  </si>
  <si>
    <t xml:space="preserve">Search an employee in the timeoff list </t>
  </si>
  <si>
    <r>
      <rPr/>
      <t xml:space="preserve">Login with HR account: </t>
    </r>
    <r>
      <rPr>
        <rFont val="Arial"/>
        <i/>
        <color rgb="FF2F5496"/>
        <sz val="10.0"/>
      </rPr>
      <t>hr</t>
    </r>
  </si>
  <si>
    <t>Verify that HR can search employee int the timeoff list</t>
  </si>
  <si>
    <t>1. Open left menu
2. Tap on Employee button
3. Open time off list
4. Input the valid name off employee that HR want to search
5, Tap on Search button</t>
  </si>
  <si>
    <t>At step 5: Only information of an employee matching with the seaching key display in the list</t>
  </si>
  <si>
    <t>View detail time off list</t>
  </si>
  <si>
    <r>
      <rPr/>
      <t xml:space="preserve">Login with HR account: </t>
    </r>
    <r>
      <rPr>
        <rFont val="Arial"/>
        <i/>
        <color rgb="FF2F5496"/>
        <sz val="10.0"/>
      </rPr>
      <t>hr</t>
    </r>
  </si>
  <si>
    <t>Verify that the user can view time off request detail of employee</t>
  </si>
  <si>
    <t>1. Open left menu
2. Tap on Employee button
3. Open time off list
4. Input the invalid name off employee that HR want to search
5, Tap on Search button
6. Click view detail at record marry1234</t>
  </si>
  <si>
    <r>
      <rPr/>
      <t>5. The application only shows records match with search condition
6. The application shows a list of time off request with one record info:
N</t>
    </r>
    <r>
      <rPr>
        <rFont val="Arial"/>
        <i/>
        <color rgb="FF2F5496"/>
        <sz val="10.0"/>
      </rPr>
      <t xml:space="preserve">ame: Marry
Leave type: Unpaid
From: 1/1/2018
To: 2/1/018
Create on: createddate
Number of days: 2 days
Comment: Persional master
Leave balance (days): 0
Status: Approved
</t>
    </r>
    <r>
      <rPr>
        <rFont val="Arial"/>
        <sz val="10.0"/>
      </rPr>
      <t>The HR see only records in Pending, approved, or rejected status</t>
    </r>
  </si>
  <si>
    <t>7. Click view detail at record johnson</t>
  </si>
  <si>
    <t xml:space="preserve">Name: Johnson
Leave type: sick-leave
From: 1/1/2018
To: 2/1/018
Create on: createddate
Number of days: 2 days
Comment: Persional master
Leave balance (days): 1
Status: Rejected </t>
  </si>
  <si>
    <t>8. Click record manager 1</t>
  </si>
  <si>
    <t>Overtime</t>
  </si>
  <si>
    <t>View Overtime request</t>
  </si>
  <si>
    <r>
      <rPr/>
      <t xml:space="preserve">Login with Employee account
</t>
    </r>
    <r>
      <rPr>
        <rFont val="Arial"/>
        <color rgb="FF3D85C6"/>
        <sz val="10.0"/>
      </rPr>
      <t>marry1234</t>
    </r>
  </si>
  <si>
    <r>
      <rPr/>
      <t xml:space="preserve">Verify that employee can </t>
    </r>
    <r>
      <rPr>
        <rFont val="Arial"/>
        <b/>
        <sz val="10.0"/>
      </rPr>
      <t xml:space="preserve">View </t>
    </r>
    <r>
      <rPr>
        <rFont val="Arial"/>
        <color rgb="FF000000"/>
        <sz val="10.0"/>
      </rPr>
      <t>the Overtime request</t>
    </r>
  </si>
  <si>
    <t>1. In the homepage tap on Overtime button</t>
  </si>
  <si>
    <t>My Overtime screen display
If there're have the request before, it will display in the list with decreasing order
If not, it display empty list</t>
  </si>
  <si>
    <t>Create Overtime request</t>
  </si>
  <si>
    <r>
      <rPr/>
      <t xml:space="preserve">Login with Employee account
</t>
    </r>
    <r>
      <rPr>
        <rFont val="Arial"/>
        <color rgb="FF3D85C6"/>
        <sz val="10.0"/>
      </rPr>
      <t>marry1234</t>
    </r>
  </si>
  <si>
    <r>
      <rPr/>
      <t xml:space="preserve">Verify that employee can </t>
    </r>
    <r>
      <rPr>
        <rFont val="Arial"/>
        <b/>
        <sz val="10.0"/>
      </rPr>
      <t xml:space="preserve">create </t>
    </r>
    <r>
      <rPr>
        <rFont val="Arial"/>
        <color rgb="FF000000"/>
        <sz val="10.0"/>
      </rPr>
      <t>the Overtime request successfully</t>
    </r>
  </si>
  <si>
    <r>
      <rPr/>
      <t xml:space="preserve">1. Go to create Overtime request screen
2. Input require data
</t>
    </r>
    <r>
      <rPr>
        <rFont val="Arial"/>
        <i/>
        <color rgb="FF2F5496"/>
        <sz val="10.0"/>
      </rPr>
      <t>Type: Overtime
From day: 08/01/2018 From time: 18:00
To day: 08/01/2018  To time: 19:30
Reason: deliver packet 
Approver: leader1</t>
    </r>
    <r>
      <rPr>
        <rFont val="Arial"/>
        <color rgb="FF000000"/>
        <sz val="10.0"/>
      </rPr>
      <t xml:space="preserve">
3. Tap on Save button</t>
    </r>
  </si>
  <si>
    <r>
      <rPr/>
      <t xml:space="preserve">A request is  created with draft status.
The request have following information: 
</t>
    </r>
    <r>
      <rPr>
        <rFont val="Arial"/>
        <i/>
        <color rgb="FF2F5496"/>
        <sz val="10.0"/>
      </rPr>
      <t>Type: Overtime
From day: 08/01/2018 From time: 18:00
To day: 08/01/2018  To time: 19:30
Reason: deliver packet 
Approver: leader1
Status: Draft</t>
    </r>
  </si>
  <si>
    <t>Create and send</t>
  </si>
  <si>
    <t>Login with Employee account
marry1234</t>
  </si>
  <si>
    <r>
      <rPr/>
      <t xml:space="preserve">Verify that employee can </t>
    </r>
    <r>
      <rPr>
        <rFont val="Arial"/>
        <b/>
        <sz val="10.0"/>
      </rPr>
      <t xml:space="preserve">create </t>
    </r>
    <r>
      <rPr>
        <rFont val="Arial"/>
        <color rgb="FF000000"/>
        <sz val="10.0"/>
      </rPr>
      <t>the Overtime request successfully</t>
    </r>
  </si>
  <si>
    <r>
      <rPr/>
      <t xml:space="preserve">1. Go to create Overtime request screen
2. Input require data
</t>
    </r>
    <r>
      <rPr>
        <rFont val="Arial"/>
        <i/>
        <color rgb="FF2F5496"/>
        <sz val="10.0"/>
      </rPr>
      <t>Type: Weekend
From day: 08/01/2018 From time: 18:00
To day: 08/01/2018  To time: 19:30
Reason: deliver packet 
Approver: leader1</t>
    </r>
    <r>
      <rPr>
        <rFont val="Arial"/>
        <color rgb="FF000000"/>
        <sz val="10.0"/>
      </rPr>
      <t xml:space="preserve">
3. Tap on submit button</t>
    </r>
  </si>
  <si>
    <r>
      <rPr/>
      <t xml:space="preserve">A request is  created with draft status.
The request have following information: 
</t>
    </r>
    <r>
      <rPr>
        <rFont val="Arial"/>
        <i/>
        <color rgb="FF2F5496"/>
        <sz val="10.0"/>
      </rPr>
      <t>Type: Weekend
From day: 08/01/2018 From time: 18:00
To day: 08/01/2018  To time: 19:30
Reason: deliver packet 
Approver: leader1
Status: Pending</t>
    </r>
  </si>
  <si>
    <t>Login with acc
johnson1235</t>
  </si>
  <si>
    <r>
      <rPr/>
      <t xml:space="preserve">Verify that employee can </t>
    </r>
    <r>
      <rPr>
        <rFont val="Arial"/>
        <b/>
        <sz val="10.0"/>
      </rPr>
      <t xml:space="preserve">create </t>
    </r>
    <r>
      <rPr>
        <rFont val="Arial"/>
        <color rgb="FF000000"/>
        <sz val="10.0"/>
      </rPr>
      <t>the Overtime request successfully</t>
    </r>
  </si>
  <si>
    <r>
      <rPr/>
      <t xml:space="preserve">1. Go to create Overtime request screen
2. Input require data
</t>
    </r>
    <r>
      <rPr>
        <rFont val="Arial"/>
        <i/>
        <color rgb="FF2F5496"/>
        <sz val="10.0"/>
      </rPr>
      <t>Type: Holidays
From day: 1/1/2018 From time: 08:30
To day: 01/01/2018  To time: 11:30
Reason: deliver packet 
Approver: manager2</t>
    </r>
    <r>
      <rPr>
        <rFont val="Arial"/>
        <color rgb="FF000000"/>
        <sz val="10.0"/>
      </rPr>
      <t xml:space="preserve">
3. Tap on submit button</t>
    </r>
  </si>
  <si>
    <r>
      <rPr/>
      <t xml:space="preserve">A request is  created with pending status.
The request have following information: 
</t>
    </r>
    <r>
      <rPr>
        <rFont val="Arial"/>
        <i/>
        <color rgb="FF2F5496"/>
        <sz val="10.0"/>
      </rPr>
      <t>Type: Holidays
From day: 1/1/2018 From time: 08:30
To day: 01/01/2018  To time: 11:30
Reason: deliver packet 
Approver: manager2
Status: Pending</t>
    </r>
  </si>
  <si>
    <t>Login with acc
manager1</t>
  </si>
  <si>
    <r>
      <rPr/>
      <t xml:space="preserve">Verify that employee can </t>
    </r>
    <r>
      <rPr>
        <rFont val="Arial"/>
        <b/>
        <sz val="10.0"/>
      </rPr>
      <t xml:space="preserve">create </t>
    </r>
    <r>
      <rPr>
        <rFont val="Arial"/>
        <color rgb="FF000000"/>
        <sz val="10.0"/>
      </rPr>
      <t>the Overtime request successfully</t>
    </r>
  </si>
  <si>
    <r>
      <rPr/>
      <t xml:space="preserve">4. Repeat step from 1 to 3 with info
</t>
    </r>
    <r>
      <rPr>
        <rFont val="Arial"/>
        <i/>
        <color rgb="FF2F5496"/>
        <sz val="10.0"/>
      </rPr>
      <t>Type: Holidays
From day: 1/1/2018 From time: 08:30
To day: 01/01/2018  To time: 11:30
Reason: deliver packet 
Approver: manager1</t>
    </r>
  </si>
  <si>
    <r>
      <rPr/>
      <t xml:space="preserve">A request is created with pending status.
The request have following information: 
</t>
    </r>
    <r>
      <rPr>
        <rFont val="Arial"/>
        <i/>
        <color rgb="FF2F5496"/>
        <sz val="10.0"/>
      </rPr>
      <t>Type: Holidays
From day: 1/1/2018 From time: 08:30
To day: 01/01/2018  To time: 11:30
Reason: deliver packet 
Approver: manager1
Status: Pending</t>
    </r>
  </si>
  <si>
    <t>Edit Overtime request</t>
  </si>
  <si>
    <r>
      <rPr/>
      <t xml:space="preserve">Login with Employee account
</t>
    </r>
    <r>
      <rPr>
        <rFont val="Arial"/>
        <i/>
        <color rgb="FF2F5496"/>
        <sz val="10.0"/>
      </rPr>
      <t>marry1234</t>
    </r>
    <r>
      <rPr>
        <rFont val="Arial"/>
        <color rgb="FF000000"/>
        <sz val="10.0"/>
      </rPr>
      <t xml:space="preserve">
Create and save draft a Overtime request</t>
    </r>
  </si>
  <si>
    <t>Verify that employee can edit the Overtime request successfully</t>
  </si>
  <si>
    <r>
      <rPr/>
      <t xml:space="preserve">1.Open the draft request
2. Edit some information:
</t>
    </r>
    <r>
      <rPr>
        <rFont val="Arial"/>
        <i/>
        <color rgb="FF0B5394"/>
        <sz val="10.0"/>
      </rPr>
      <t xml:space="preserve">From day: 2/1/2018 From time: 17:30
To day: 2/1/2018  To time: 21:30
Reason: deliver packet 
</t>
    </r>
    <r>
      <rPr>
        <rFont val="Arial"/>
        <color rgb="FF000000"/>
        <sz val="10.0"/>
      </rPr>
      <t xml:space="preserve">3, Tao on </t>
    </r>
    <r>
      <rPr>
        <rFont val="Arial"/>
        <b/>
        <sz val="10.0"/>
      </rPr>
      <t xml:space="preserve">Save </t>
    </r>
    <r>
      <rPr>
        <rFont val="Arial"/>
        <color rgb="FF000000"/>
        <sz val="10.0"/>
      </rPr>
      <t xml:space="preserve">button </t>
    </r>
  </si>
  <si>
    <r>
      <rPr/>
      <t xml:space="preserve">This reques was edit successfully.
List Overtime request display
Info of new request was changed in the list.
</t>
    </r>
    <r>
      <rPr>
        <rFont val="Arial"/>
        <i/>
        <color rgb="FF2F5496"/>
        <sz val="10.0"/>
      </rPr>
      <t>Type: Overtime
From day: 2/1/2018 From time: 17:30
To day: 2/1/2018  To time: 21:30
Reason: deliver packet 
Approver: john1235</t>
    </r>
    <r>
      <rPr>
        <rFont val="Arial"/>
        <color rgb="FF000000"/>
        <sz val="10.0"/>
      </rPr>
      <t xml:space="preserve">
Status: Draft</t>
    </r>
  </si>
  <si>
    <t>Apply Overtime request</t>
  </si>
  <si>
    <r>
      <rPr/>
      <t xml:space="preserve">Login with Employee account
</t>
    </r>
    <r>
      <rPr>
        <rFont val="Arial"/>
        <i/>
        <color rgb="FF2F5496"/>
        <sz val="10.0"/>
      </rPr>
      <t>marry1234</t>
    </r>
    <r>
      <rPr>
        <rFont val="Arial"/>
        <color rgb="FF000000"/>
        <sz val="10.0"/>
      </rPr>
      <t xml:space="preserve">
Create and save draft a Overtime request</t>
    </r>
  </si>
  <si>
    <t>Verify that employee can apply the Overtime request successfully</t>
  </si>
  <si>
    <r>
      <rPr/>
      <t>1. Open the draff request : first record (weekend)</t>
    </r>
    <r>
      <rPr>
        <rFont val="Arial"/>
        <i/>
        <color rgb="FF0B5394"/>
        <sz val="10.0"/>
      </rPr>
      <t xml:space="preserve">
</t>
    </r>
    <r>
      <rPr>
        <rFont val="Arial"/>
        <color rgb="FF000000"/>
        <sz val="10.0"/>
      </rPr>
      <t xml:space="preserve">2. Tab on </t>
    </r>
    <r>
      <rPr>
        <rFont val="Arial"/>
        <b/>
        <sz val="10.0"/>
      </rPr>
      <t xml:space="preserve">send </t>
    </r>
    <r>
      <rPr>
        <rFont val="Arial"/>
        <color rgb="FF000000"/>
        <sz val="10.0"/>
      </rPr>
      <t>button</t>
    </r>
    <r>
      <rPr>
        <rFont val="Arial"/>
        <b/>
        <sz val="10.0"/>
      </rPr>
      <t xml:space="preserve"> 
3.1 Click No</t>
    </r>
  </si>
  <si>
    <t>2. The applictaion shows confirm popup
3. Closing popup and unchange this request status</t>
  </si>
  <si>
    <t>4 Click Yes</t>
  </si>
  <si>
    <t>This request was sent successfully.
List Overtime request display
Newest request display on the list with status Waiting Approval
The notification was sent to account: leader1</t>
  </si>
  <si>
    <t>Delete Overtime Draft request</t>
  </si>
  <si>
    <r>
      <rPr/>
      <t xml:space="preserve">Login with Employee account
</t>
    </r>
    <r>
      <rPr>
        <rFont val="Arial"/>
        <i/>
        <color rgb="FF2F5496"/>
        <sz val="10.0"/>
      </rPr>
      <t>marry1234</t>
    </r>
    <r>
      <rPr>
        <rFont val="Arial"/>
        <color rgb="FF000000"/>
        <sz val="10.0"/>
      </rPr>
      <t xml:space="preserve">
Create and save draft a Overtime request</t>
    </r>
  </si>
  <si>
    <t>Verify that employee can delete the Overtime draft request successfully</t>
  </si>
  <si>
    <t>1. Open the draft request
2. Tap on delete button at second record (overtime)
3. Tap on YES button to confirm</t>
  </si>
  <si>
    <t xml:space="preserve">The request was deleted successfully
The request was removed from the request list
</t>
  </si>
  <si>
    <t>Receive the Overtime request notification</t>
  </si>
  <si>
    <t>Login with Leader account
leader11237</t>
  </si>
  <si>
    <r>
      <rPr/>
      <t xml:space="preserve">Verify that Leader can </t>
    </r>
    <r>
      <rPr>
        <rFont val="Arial"/>
        <b/>
        <sz val="10.0"/>
      </rPr>
      <t>receive</t>
    </r>
    <r>
      <rPr>
        <rFont val="Arial"/>
        <color rgb="FF000000"/>
        <sz val="10.0"/>
      </rPr>
      <t xml:space="preserve"> the notification from sever when have request from their employee</t>
    </r>
  </si>
  <si>
    <r>
      <rPr/>
      <t xml:space="preserve">1. Send a request from employee account </t>
    </r>
    <r>
      <rPr>
        <rFont val="Arial"/>
        <i/>
        <color rgb="FF2F5496"/>
        <sz val="10.0"/>
      </rPr>
      <t xml:space="preserve">marry1236
</t>
    </r>
    <r>
      <rPr>
        <rFont val="Arial"/>
        <color rgb="FF000000"/>
        <sz val="10.0"/>
      </rPr>
      <t xml:space="preserve">2. Check the notice number in the request icon in the top of screen
</t>
    </r>
  </si>
  <si>
    <t>View the Overtime request</t>
  </si>
  <si>
    <r>
      <rPr/>
      <t xml:space="preserve">Verify that Leader can </t>
    </r>
    <r>
      <rPr>
        <rFont val="Arial"/>
        <b/>
        <sz val="10.0"/>
      </rPr>
      <t>open and view</t>
    </r>
    <r>
      <rPr>
        <rFont val="Arial"/>
        <color rgb="FF000000"/>
        <sz val="10.0"/>
      </rPr>
      <t xml:space="preserve"> the request list from request notifycation icon</t>
    </r>
  </si>
  <si>
    <r>
      <rPr/>
      <t xml:space="preserve">Request list is displayed.
The newest request display on the top
In list has one record
</t>
    </r>
    <r>
      <rPr>
        <rFont val="Arial"/>
        <i/>
        <color rgb="FF2F5496"/>
        <sz val="10.0"/>
      </rPr>
      <t>Type: Weekend
From day: 06/1/2018 From time: 17:30
To day: 06/1/2018  To time: 21:30
Reason: deliver packet 
Status: Pending</t>
    </r>
  </si>
  <si>
    <t>Approve the Overtime request</t>
  </si>
  <si>
    <r>
      <rPr/>
      <t xml:space="preserve">Verify that Leader can </t>
    </r>
    <r>
      <rPr>
        <rFont val="Arial"/>
        <b/>
        <sz val="10.0"/>
      </rPr>
      <t xml:space="preserve">approve </t>
    </r>
    <r>
      <rPr>
        <rFont val="Arial"/>
        <color rgb="FF000000"/>
        <sz val="10.0"/>
      </rPr>
      <t>the request list from request notifycation icon</t>
    </r>
  </si>
  <si>
    <t>1. Tap on the reques that leader want to approve
2. Tap on "+" button  to open two opption
3. Tap on "tick" button</t>
  </si>
  <si>
    <r>
      <rPr/>
      <t xml:space="preserve">Confirmation pop up display with to button: OK, Cancel and the message:
</t>
    </r>
    <r>
      <rPr>
        <rFont val="Arial"/>
        <i/>
        <color rgb="FF2F5496"/>
        <sz val="10.0"/>
      </rPr>
      <t>"Do you want to approve this request?"</t>
    </r>
  </si>
  <si>
    <t>1. Tap on OK button</t>
  </si>
  <si>
    <t>The status of request change from waiting to approved
This request is removed from wating request list
The number in request notification list is reduce 1</t>
  </si>
  <si>
    <t>Reject the Overtime request</t>
  </si>
  <si>
    <t>Login with Leader account
manager 2</t>
  </si>
  <si>
    <r>
      <rPr/>
      <t xml:space="preserve">Verify that Leader can </t>
    </r>
    <r>
      <rPr>
        <rFont val="Arial"/>
        <b/>
        <sz val="10.0"/>
      </rPr>
      <t xml:space="preserve">reject </t>
    </r>
    <r>
      <rPr>
        <rFont val="Arial"/>
        <color rgb="FF000000"/>
        <sz val="10.0"/>
      </rPr>
      <t>the request list from request notifycation icon</t>
    </r>
  </si>
  <si>
    <t>1. Tap on the reques that leader want to approve
2. Tap on "+" button  to open two opption
3. Tap on "x" button
4. Input reject reason 
5. Click done
6. Click No</t>
  </si>
  <si>
    <r>
      <rPr/>
      <t xml:space="preserve">5. Confirmation pop up display with to button: OK, Cancel and the message:
</t>
    </r>
    <r>
      <rPr>
        <rFont val="Arial"/>
        <i/>
        <color rgb="FF2F5496"/>
        <sz val="10.0"/>
      </rPr>
      <t>"Do you want to reject this request?"</t>
    </r>
  </si>
  <si>
    <t>7. Tap on OK button</t>
  </si>
  <si>
    <t>The status of request change from waiting to rejected
This request is removed from wating request list
The number in request notification list is reduce 1</t>
  </si>
  <si>
    <t>View my overtime</t>
  </si>
  <si>
    <t xml:space="preserve">verify that the user can view my overtime </t>
  </si>
  <si>
    <t>1. Go to overtime
2. Click My overtime</t>
  </si>
  <si>
    <r>
      <rPr/>
      <t>In list shows one record:</t>
    </r>
    <r>
      <rPr>
        <rFont val="Arial"/>
        <i/>
        <color rgb="FF2F5496"/>
        <sz val="10.0"/>
      </rPr>
      <t xml:space="preserve">
Type: Weekend
From day: 1/1/2018 From time: 17:30
To day: 06/1/2018  To time: 21:30
Reason: deliver packet 
Status: Approved</t>
    </r>
  </si>
  <si>
    <t>Login with acc
user: johnson1235
pass:default</t>
  </si>
  <si>
    <r>
      <rPr/>
      <t>In list shows one record:</t>
    </r>
    <r>
      <rPr>
        <rFont val="Arial"/>
        <i/>
        <color rgb="FF2F5496"/>
        <sz val="10.0"/>
      </rPr>
      <t xml:space="preserve">
Type: Holidays
From day: 1/1/2018 From time: 08:30
To day: 01/01/2018  To time: 11:30
Reason: deliver packet 
Approver: manager2
Status: Rejected </t>
    </r>
  </si>
  <si>
    <t>Login with acc
Manager11238</t>
  </si>
  <si>
    <r>
      <rPr/>
      <t xml:space="preserve">In list shows one record:
</t>
    </r>
    <r>
      <rPr>
        <rFont val="Arial"/>
        <i/>
        <color rgb="FF2F5496"/>
        <sz val="10.0"/>
      </rPr>
      <t xml:space="preserve">Type: Holidays
From day: 1/1/2018 From time: 08:30
To day: 01/01/2018  To time: 11:30
Reason: deliver packet 
Approver: manager2
Status: Pending </t>
    </r>
  </si>
  <si>
    <t>Attendance</t>
  </si>
  <si>
    <r>
      <rPr/>
      <t xml:space="preserve">Assuming that, 
Time recorder will export work time of all employee in csv file 
</t>
    </r>
    <r>
      <rPr>
        <rFont val="Arial"/>
        <b/>
        <sz val="10.0"/>
      </rPr>
      <t xml:space="preserve">Only get the earliest and the latest time for check-in, check-out
After 18:00 pm is Overtime
Symbol
</t>
    </r>
    <r>
      <rPr>
        <rFont val="Arial"/>
        <color rgb="FF2F5496"/>
        <sz val="10.0"/>
      </rPr>
      <t>ON: full time
OFF: days off</t>
    </r>
    <r>
      <rPr>
        <rFont val="Arial"/>
        <b/>
        <color rgb="FF2F5496"/>
        <sz val="10.0"/>
      </rPr>
      <t xml:space="preserve">
</t>
    </r>
    <r>
      <rPr>
        <rFont val="Arial"/>
        <color rgb="FF2F5496"/>
        <sz val="10.0"/>
      </rPr>
      <t>ONG: overnight
OT: Overtime
OW: work on the weekend
OH: work on the holiday</t>
    </r>
  </si>
  <si>
    <t>Web, Mobile</t>
  </si>
  <si>
    <t>View attendance</t>
  </si>
  <si>
    <t>Login on with employee acc
user: marry1234
pass: default</t>
  </si>
  <si>
    <t>Verify that the user  can view your attendance</t>
  </si>
  <si>
    <t xml:space="preserve">1. Go to My Attendance
</t>
  </si>
  <si>
    <t>The application shows month calendar with info your attendance
Default current month. Each day is marked by different colors
- Grey: OFF
- Red: ON (late, soon)
- Green: OT
- Blue: ON (full time)
- No color: no data ( the date &gt; current date)</t>
  </si>
  <si>
    <t>2. Click Next, Previous to move a month</t>
  </si>
  <si>
    <t>Next month, previous month</t>
  </si>
  <si>
    <t>3. Check data is display match with time recorder</t>
  </si>
  <si>
    <t>Data on application map with data in csv file</t>
  </si>
  <si>
    <t>Verify that the user can view info detail of one day</t>
  </si>
  <si>
    <r>
      <rPr>
        <rFont val="Arial"/>
        <b/>
        <sz val="10.0"/>
      </rPr>
      <t>In case work full time</t>
    </r>
    <r>
      <rPr>
        <rFont val="Arial"/>
        <sz val="10.0"/>
      </rPr>
      <t xml:space="preserve">
1. Go to My attendance
2. Click on date you want to view detail
</t>
    </r>
    <r>
      <rPr>
        <rFont val="Arial"/>
        <i/>
        <color rgb="FF2F5496"/>
        <sz val="10.0"/>
      </rPr>
      <t>01/01/2018
Check-in: 08:00
Check-out: 17:30</t>
    </r>
  </si>
  <si>
    <r>
      <t xml:space="preserve">The application shows list of check-in. check out. detail:
</t>
    </r>
    <r>
      <rPr>
        <i/>
        <color rgb="FF2F5496"/>
        <sz val="10.0"/>
      </rPr>
      <t>- 08:00  Check-in</t>
    </r>
    <r>
      <rPr>
        <sz val="10.0"/>
      </rPr>
      <t xml:space="preserve">
- </t>
    </r>
    <r>
      <rPr>
        <color rgb="FFFF0000"/>
        <sz val="10.0"/>
      </rPr>
      <t xml:space="preserve">17:.30 Check out
</t>
    </r>
    <r>
      <rPr>
        <sz val="10.0"/>
      </rPr>
      <t xml:space="preserve">- Work hours: 8h (checkout-end break + start break -checkin)
- OT: 0
</t>
    </r>
    <r>
      <rPr>
        <color rgb="FFFF0000"/>
        <sz val="10.0"/>
      </rPr>
      <t>- Missing (hours): 0
- Off (days): 0</t>
    </r>
    <r>
      <rPr>
        <sz val="10.0"/>
      </rPr>
      <t xml:space="preserve">
The date is marked by Blue</t>
    </r>
  </si>
  <si>
    <r>
      <rPr>
        <rFont val="Arial"/>
        <b/>
        <color rgb="FF000000"/>
        <sz val="10.0"/>
      </rPr>
      <t>In case work full time</t>
    </r>
    <r>
      <rPr>
        <rFont val="Arial"/>
        <sz val="10.0"/>
      </rPr>
      <t xml:space="preserve">
1. Go to My attendance
2. Click on date you want to view detail
</t>
    </r>
    <r>
      <rPr>
        <rFont val="Arial"/>
        <i/>
        <color rgb="FF2F5496"/>
        <sz val="10.0"/>
      </rPr>
      <t>02/01/2018
Check-in: 08:30
Check-out: 18:00</t>
    </r>
  </si>
  <si>
    <r>
      <t xml:space="preserve">The application shows list of check-in. check out. detail:
</t>
    </r>
    <r>
      <rPr>
        <color rgb="FF2F5496"/>
        <sz val="10.0"/>
      </rPr>
      <t>- 08:30  Check-in</t>
    </r>
    <r>
      <rPr>
        <sz val="10.0"/>
      </rPr>
      <t xml:space="preserve">
</t>
    </r>
    <r>
      <rPr>
        <color rgb="FFFF0000"/>
        <sz val="10.0"/>
      </rPr>
      <t>- 18:00 Check out</t>
    </r>
    <r>
      <rPr>
        <sz val="10.0"/>
      </rPr>
      <t xml:space="preserve">
- Work hours: 8h (checkout-end break + start break -checkin)
</t>
    </r>
    <r>
      <rPr>
        <color rgb="FF2F5496"/>
        <sz val="10.0"/>
      </rPr>
      <t>- OT: 0</t>
    </r>
    <r>
      <rPr>
        <sz val="10.0"/>
      </rPr>
      <t xml:space="preserve">
</t>
    </r>
    <r>
      <rPr>
        <color rgb="FFFF0000"/>
        <sz val="10.0"/>
      </rPr>
      <t>- Missing (hours): 0
- Off (days): 0</t>
    </r>
    <r>
      <rPr>
        <sz val="10.0"/>
      </rPr>
      <t xml:space="preserve">
The date is marked by Blue</t>
    </r>
  </si>
  <si>
    <r>
      <rPr>
        <rFont val="Arial"/>
        <b/>
        <sz val="10.0"/>
      </rPr>
      <t>In case work of lack of hours</t>
    </r>
    <r>
      <rPr>
        <rFont val="Arial"/>
        <sz val="10.0"/>
      </rPr>
      <t xml:space="preserve">
1. Go to My attendance
2. Click on date you want to view detail
</t>
    </r>
    <r>
      <rPr>
        <rFont val="Arial"/>
        <i/>
        <color rgb="FF2F5496"/>
        <sz val="10.0"/>
      </rPr>
      <t>03/01/2018
Check-in: 08:30
Check-out: 17:30</t>
    </r>
  </si>
  <si>
    <r>
      <rPr/>
      <t xml:space="preserve">The application shows list of check-in. check out. detail:
</t>
    </r>
    <r>
      <rPr>
        <rFont val="Arial"/>
        <color rgb="FF2F5496"/>
        <sz val="10.0"/>
      </rPr>
      <t>- 08:30  Check-in</t>
    </r>
    <r>
      <rPr>
        <rFont val="Arial"/>
        <sz val="10.0"/>
      </rPr>
      <t xml:space="preserve">
</t>
    </r>
    <r>
      <rPr>
        <rFont val="Arial"/>
        <color rgb="FFFF0000"/>
        <sz val="10.0"/>
      </rPr>
      <t>- 17:.30 Check out</t>
    </r>
    <r>
      <rPr>
        <rFont val="Arial"/>
        <sz val="10.0"/>
      </rPr>
      <t xml:space="preserve">
- Work hours: 7.5
</t>
    </r>
    <r>
      <rPr>
        <rFont val="Arial"/>
        <color rgb="FF2F5496"/>
        <sz val="10.0"/>
      </rPr>
      <t>- OT: 0</t>
    </r>
    <r>
      <rPr>
        <rFont val="Arial"/>
        <sz val="10.0"/>
      </rPr>
      <t xml:space="preserve">
</t>
    </r>
    <r>
      <rPr>
        <rFont val="Arial"/>
        <color rgb="FFFF0000"/>
        <sz val="10.0"/>
      </rPr>
      <t>- Missing (hours): 0.5
- Off (days): 0</t>
    </r>
    <r>
      <rPr>
        <rFont val="Arial"/>
        <sz val="10.0"/>
      </rPr>
      <t xml:space="preserve">
The date is marked by red</t>
    </r>
  </si>
  <si>
    <r>
      <rPr>
        <rFont val="Arial"/>
        <b/>
        <sz val="10.0"/>
      </rPr>
      <t>In case Go out too long</t>
    </r>
    <r>
      <rPr>
        <rFont val="Arial"/>
        <sz val="10.0"/>
      </rPr>
      <t xml:space="preserve">
1. Go to My attendance
2. Click on date you want to view detail
</t>
    </r>
    <r>
      <rPr>
        <rFont val="Arial"/>
        <i/>
        <color rgb="FF2F5496"/>
        <sz val="10.0"/>
      </rPr>
      <t>04/01/2018
Check-in 1: 08:00
Check-out 1: 10:30
Check-in 2: 11:30
Checkout 2: 13:30
check in 3: 14:30
Check-out 4: 17:30</t>
    </r>
    <r>
      <rPr>
        <rFont val="Arial"/>
        <sz val="10.0"/>
      </rPr>
      <t xml:space="preserve">
</t>
    </r>
  </si>
  <si>
    <r>
      <rPr/>
      <t xml:space="preserve">The application shows list of check-in. check out. detail:
</t>
    </r>
    <r>
      <rPr>
        <rFont val="Arial"/>
        <color rgb="FF2E75B5"/>
        <sz val="10.0"/>
      </rPr>
      <t>- 08:00  Check-in</t>
    </r>
    <r>
      <rPr>
        <rFont val="Arial"/>
        <sz val="10.0"/>
      </rPr>
      <t xml:space="preserve">
</t>
    </r>
    <r>
      <rPr>
        <rFont val="Arial"/>
        <color rgb="FFFF0000"/>
        <sz val="10.0"/>
      </rPr>
      <t>- 17:.30 Check out</t>
    </r>
    <r>
      <rPr>
        <rFont val="Arial"/>
        <sz val="10.0"/>
      </rPr>
      <t xml:space="preserve">
- Work hours: 6h =checkout(lasted)-end break + start break -checkin1 (early)- (checkin2-checkout1)+(checkin3 - checkout2))
</t>
    </r>
    <r>
      <rPr>
        <rFont val="Arial"/>
        <color rgb="FF2F5496"/>
        <sz val="10.0"/>
      </rPr>
      <t>- OT: 0</t>
    </r>
    <r>
      <rPr>
        <rFont val="Arial"/>
        <sz val="10.0"/>
      </rPr>
      <t xml:space="preserve">
</t>
    </r>
    <r>
      <rPr>
        <rFont val="Arial"/>
        <color rgb="FFFF0000"/>
        <sz val="10.0"/>
      </rPr>
      <t>- Missing (hours): 2
- Off (days): 0</t>
    </r>
    <r>
      <rPr>
        <rFont val="Arial"/>
        <sz val="10.0"/>
      </rPr>
      <t xml:space="preserve">
The date is marked by red</t>
    </r>
  </si>
  <si>
    <r>
      <rPr/>
      <t xml:space="preserve">In case punch out soon
</t>
    </r>
    <r>
      <rPr>
        <rFont val="Arial"/>
        <sz val="10.0"/>
      </rPr>
      <t xml:space="preserve">1. Go to My attendance
2. Click on date you want to view detail
</t>
    </r>
    <r>
      <rPr>
        <rFont val="Arial"/>
        <i/>
        <color rgb="FF2F5496"/>
        <sz val="10.0"/>
      </rPr>
      <t>05/01/2018
Check-in: 08:00
Check-out: 16:30</t>
    </r>
  </si>
  <si>
    <r>
      <t xml:space="preserve">The application shows list of check-in. check out. detail:
</t>
    </r>
    <r>
      <rPr>
        <color rgb="FF2F5496"/>
        <sz val="10.0"/>
      </rPr>
      <t>- 08:00  Check-in</t>
    </r>
    <r>
      <rPr>
        <sz val="10.0"/>
      </rPr>
      <t xml:space="preserve">
</t>
    </r>
    <r>
      <rPr>
        <color rgb="FFFF0000"/>
        <sz val="10.0"/>
      </rPr>
      <t>- 16:.30 Check out</t>
    </r>
    <r>
      <rPr>
        <sz val="10.0"/>
      </rPr>
      <t xml:space="preserve">
- Work hours: 7h
</t>
    </r>
    <r>
      <rPr>
        <color rgb="FF2F5496"/>
        <sz val="10.0"/>
      </rPr>
      <t>- OT: 0</t>
    </r>
    <r>
      <rPr>
        <sz val="10.0"/>
      </rPr>
      <t xml:space="preserve">
</t>
    </r>
    <r>
      <rPr>
        <color rgb="FFFF0000"/>
        <sz val="10.0"/>
      </rPr>
      <t>- Missing (hours): 1
- Off (days): 0</t>
    </r>
    <r>
      <rPr>
        <sz val="10.0"/>
      </rPr>
      <t xml:space="preserve">
The date is marked by red</t>
    </r>
  </si>
  <si>
    <r>
      <rPr>
        <rFont val="Arial"/>
        <b/>
        <sz val="10.0"/>
      </rPr>
      <t>In case OT</t>
    </r>
    <r>
      <rPr>
        <rFont val="Arial"/>
        <sz val="10.0"/>
      </rPr>
      <t xml:space="preserve">
1. Go to My attendance
2. Click on date you want to view detail
</t>
    </r>
    <r>
      <rPr>
        <rFont val="Arial"/>
        <i/>
        <color rgb="FF2F5496"/>
        <sz val="10.0"/>
      </rPr>
      <t>08/01/2018
Check-in: 08:00
Check-out: 19:30</t>
    </r>
  </si>
  <si>
    <r>
      <rPr/>
      <t xml:space="preserve">The application shows list of check-in. check out. detail:
- 08:00  Check-in
- 19:30 Check out
- Work hours: 8.5h
</t>
    </r>
    <r>
      <rPr>
        <rFont val="Arial"/>
        <color rgb="FF2F5496"/>
        <sz val="10.0"/>
      </rPr>
      <t>- OT: 1.5h</t>
    </r>
    <r>
      <rPr>
        <rFont val="Arial"/>
        <sz val="10.0"/>
      </rPr>
      <t xml:space="preserve">
</t>
    </r>
    <r>
      <rPr>
        <rFont val="Arial"/>
        <color rgb="FFFF0000"/>
        <sz val="10.0"/>
      </rPr>
      <t>- Missing (hours): 0
- Off (days): 0</t>
    </r>
    <r>
      <rPr>
        <rFont val="Arial"/>
        <sz val="10.0"/>
      </rPr>
      <t xml:space="preserve">
The date is marked by Green</t>
    </r>
  </si>
  <si>
    <r>
      <rPr>
        <rFont val="Arial"/>
        <b/>
        <sz val="10.0"/>
      </rPr>
      <t>In case work on the weekend</t>
    </r>
    <r>
      <rPr>
        <rFont val="Arial"/>
        <sz val="10.0"/>
      </rPr>
      <t xml:space="preserve">
1. Go to My attendance
2. Click on date you want to view detail
</t>
    </r>
    <r>
      <rPr>
        <rFont val="Arial"/>
        <color rgb="FF2F5496"/>
        <sz val="10.0"/>
      </rPr>
      <t>06/01/2018
Check-in: 08:00
Check-out: 12:30</t>
    </r>
  </si>
  <si>
    <r>
      <rPr/>
      <t xml:space="preserve">The application shows list of check-in. check out. detail:
</t>
    </r>
    <r>
      <rPr>
        <rFont val="Arial"/>
        <color rgb="FF2F5496"/>
        <sz val="10.0"/>
      </rPr>
      <t>- 08:00  Check-in</t>
    </r>
    <r>
      <rPr>
        <rFont val="Arial"/>
        <sz val="10.0"/>
      </rPr>
      <t xml:space="preserve">
</t>
    </r>
    <r>
      <rPr>
        <rFont val="Arial"/>
        <color rgb="FFFF0000"/>
        <sz val="10.0"/>
      </rPr>
      <t>- 12:30 Check out</t>
    </r>
    <r>
      <rPr>
        <rFont val="Arial"/>
        <sz val="10.0"/>
      </rPr>
      <t xml:space="preserve">
- Work hours: 0
</t>
    </r>
    <r>
      <rPr>
        <rFont val="Arial"/>
        <color rgb="FF2F5496"/>
        <sz val="10.0"/>
      </rPr>
      <t>- OT: 4h</t>
    </r>
    <r>
      <rPr>
        <rFont val="Arial"/>
        <sz val="10.0"/>
      </rPr>
      <t xml:space="preserve">
</t>
    </r>
    <r>
      <rPr>
        <rFont val="Arial"/>
        <color rgb="FFFF0000"/>
        <sz val="10.0"/>
      </rPr>
      <t>- Missing (hours): 0
- Off (days): 0</t>
    </r>
    <r>
      <rPr>
        <rFont val="Arial"/>
        <sz val="10.0"/>
      </rPr>
      <t xml:space="preserve">
The date is marked by Green</t>
    </r>
  </si>
  <si>
    <r>
      <rPr>
        <rFont val="Arial"/>
        <b/>
        <sz val="10.0"/>
      </rPr>
      <t>In case work on the holiday</t>
    </r>
    <r>
      <rPr>
        <rFont val="Arial"/>
        <sz val="10.0"/>
      </rPr>
      <t xml:space="preserve">
1. Go to My attendance
2. Click on date you want to view detail
</t>
    </r>
    <r>
      <rPr>
        <rFont val="Arial"/>
        <i/>
        <color rgb="FF2F5496"/>
        <sz val="10.0"/>
      </rPr>
      <t>15/01/2018
Check-in: 08:00
Check-out: 17:30</t>
    </r>
  </si>
  <si>
    <r>
      <rPr/>
      <t xml:space="preserve">The application shows list of check-in. check out. detail:
</t>
    </r>
    <r>
      <rPr>
        <rFont val="Arial"/>
        <color rgb="FF2F5496"/>
        <sz val="10.0"/>
      </rPr>
      <t>- 08:00  Check-in</t>
    </r>
    <r>
      <rPr>
        <rFont val="Arial"/>
        <sz val="10.0"/>
      </rPr>
      <t xml:space="preserve">
</t>
    </r>
    <r>
      <rPr>
        <rFont val="Arial"/>
        <color rgb="FFFF0000"/>
        <sz val="10.0"/>
      </rPr>
      <t>- 17:30 Check out</t>
    </r>
    <r>
      <rPr>
        <rFont val="Arial"/>
        <sz val="10.0"/>
      </rPr>
      <t xml:space="preserve">
- Work hours: 0
</t>
    </r>
    <r>
      <rPr>
        <rFont val="Arial"/>
        <color rgb="FF2F5496"/>
        <sz val="10.0"/>
      </rPr>
      <t>- OT: 8h</t>
    </r>
    <r>
      <rPr>
        <rFont val="Arial"/>
        <sz val="10.0"/>
      </rPr>
      <t xml:space="preserve">
</t>
    </r>
    <r>
      <rPr>
        <rFont val="Arial"/>
        <color rgb="FFFF0000"/>
        <sz val="10.0"/>
      </rPr>
      <t>- Missing (hours): 0
- Off (days): 0</t>
    </r>
    <r>
      <rPr>
        <rFont val="Arial"/>
        <sz val="10.0"/>
      </rPr>
      <t xml:space="preserve">
The date is marked by Green</t>
    </r>
  </si>
  <si>
    <r>
      <rPr>
        <rFont val="Arial"/>
        <b/>
        <sz val="10.0"/>
      </rPr>
      <t>In case miss check-out info</t>
    </r>
    <r>
      <rPr>
        <rFont val="Arial"/>
        <sz val="10.0"/>
      </rPr>
      <t xml:space="preserve">
1. Go to My attendance
2. Click on date you want to view detail
</t>
    </r>
    <r>
      <rPr>
        <rFont val="Arial"/>
        <i/>
        <color rgb="FF2F5496"/>
        <sz val="10.0"/>
      </rPr>
      <t>09/01/2018
Check-in: 08:00</t>
    </r>
  </si>
  <si>
    <t>The application shows list of check-in. check out. detail:
- 08:00  Check-in
- --:-- Check out
- Work hours: 0
- OT: 0
- Missing (hours): 0
- Off (days): 1
The date is marked by Grey</t>
  </si>
  <si>
    <r>
      <rPr>
        <rFont val="Arial"/>
        <b/>
        <sz val="10.0"/>
      </rPr>
      <t>In case miss check-in info</t>
    </r>
    <r>
      <rPr>
        <rFont val="Arial"/>
        <sz val="10.0"/>
      </rPr>
      <t xml:space="preserve">
1. Go to My attendance
2. Click on date you want to view detail
</t>
    </r>
    <r>
      <rPr>
        <rFont val="Arial"/>
        <i/>
        <color rgb="FF2F5496"/>
        <sz val="10.0"/>
      </rPr>
      <t>11/01/2018</t>
    </r>
    <r>
      <rPr>
        <rFont val="Arial"/>
        <sz val="10.0"/>
      </rPr>
      <t xml:space="preserve">
</t>
    </r>
    <r>
      <rPr>
        <rFont val="Arial"/>
        <color rgb="FF2F5496"/>
        <sz val="10.0"/>
      </rPr>
      <t>Check-out: 17:30</t>
    </r>
  </si>
  <si>
    <t>The application shows list of check-in. check out. detail:
- --:--  Check-in
- 17:30 Check out
- Work hours: 0
- OT: 0
- Missing (hours): 0
- Off (days): 1
The date is marked by Grey</t>
  </si>
  <si>
    <t xml:space="preserve">
The request Time off is approved</t>
  </si>
  <si>
    <r>
      <rPr>
        <rFont val="Arial"/>
        <b/>
        <sz val="10.0"/>
      </rPr>
      <t>In case off half day</t>
    </r>
    <r>
      <rPr>
        <rFont val="Arial"/>
        <sz val="10.0"/>
      </rPr>
      <t xml:space="preserve">
1. Go to My attendance
2. Click on date you want to view detail
</t>
    </r>
    <r>
      <rPr>
        <rFont val="Arial"/>
        <i/>
        <color rgb="FF2F5496"/>
        <sz val="10.0"/>
      </rPr>
      <t>10/01/2018</t>
    </r>
  </si>
  <si>
    <t>The application shows list of check-in. check out. detail:
- 13:00  Check in
- 17:30 Check out
- Work hours: 4
- OT: 0
- Missing (hours): 0
- Off (days): 0.5
The date is marked by Grey</t>
  </si>
  <si>
    <t>Login with acc johnson1235
The request time off  Unapproved/ Rejected</t>
  </si>
  <si>
    <r>
      <rPr>
        <rFont val="Arial"/>
        <b/>
        <sz val="10.0"/>
      </rPr>
      <t>In case off full day</t>
    </r>
    <r>
      <rPr>
        <rFont val="Arial"/>
        <sz val="10.0"/>
      </rPr>
      <t xml:space="preserve">
1. Go to My attendance
2. Click on date you want to view detail
</t>
    </r>
    <r>
      <rPr>
        <rFont val="Arial"/>
        <i/>
        <color rgb="FF2F5496"/>
        <sz val="10.0"/>
      </rPr>
      <t>01/01/2018</t>
    </r>
  </si>
  <si>
    <t>The application shows list of check-in. check out. detail:
- --:--  Check in
- --:-- Check out
- Work hours: 0
- OT: 0
- Missing (hours): 0
- Off (days): 1
The date is marked by Grey</t>
  </si>
  <si>
    <t>View the summary of work in the month</t>
  </si>
  <si>
    <t>Verify that the user can view summary of work</t>
  </si>
  <si>
    <t>1. Go to My attendance
2. Observer Lable total</t>
  </si>
  <si>
    <t>ON ( Days): 1
OT( hours): 1.5
ONG (hours): 4
OW(hours): 8
OH (hours): 8
OFF (days): 0.5</t>
  </si>
  <si>
    <t>Login on with employee acc
user: johnson1235
pass: default
Johnson created the request time off is approved (vacation - 1 days)</t>
  </si>
  <si>
    <t>ON ( Days): 1
OT( hours): 0
ONG (hours): 0
OW(hours): 0
OH (hours): 0
OFF (days): 2 
Vacation: 1</t>
  </si>
  <si>
    <t>Request change to work time</t>
  </si>
  <si>
    <t>Verify that the user can create request change work time</t>
  </si>
  <si>
    <r>
      <rPr/>
      <t xml:space="preserve">1. Go to My attendance
2. Long Click on date you want to create request
</t>
    </r>
    <r>
      <rPr>
        <rFont val="Arial"/>
        <i/>
        <color rgb="FF2F5496"/>
        <sz val="10.0"/>
      </rPr>
      <t>11/01/2018</t>
    </r>
    <r>
      <rPr>
        <rFont val="Arial"/>
        <sz val="10.0"/>
      </rPr>
      <t xml:space="preserve">
3. Click +</t>
    </r>
  </si>
  <si>
    <t>The application show blank record</t>
  </si>
  <si>
    <r>
      <rPr/>
      <t xml:space="preserve">4. Input data
</t>
    </r>
    <r>
      <rPr>
        <rFont val="Arial"/>
        <i/>
        <color rgb="FF2F5496"/>
        <sz val="10.0"/>
      </rPr>
      <t xml:space="preserve">- 17:30  check out
- Approver: leader1
</t>
    </r>
    <r>
      <rPr>
        <rFont val="Arial"/>
        <sz val="10.0"/>
      </rPr>
      <t>5. Click send</t>
    </r>
  </si>
  <si>
    <r>
      <rPr/>
      <t xml:space="preserve">A request is created and displayed as one item in detail list
item 1
</t>
    </r>
    <r>
      <rPr>
        <rFont val="Arial"/>
        <i/>
        <color rgb="FF2F5496"/>
        <sz val="10.0"/>
      </rPr>
      <t xml:space="preserve">- 08:00  Check-in
- --:-- Check out
- Work hours: 0
- OT: 0
- Missing (hours): 0
</t>
    </r>
    <r>
      <rPr>
        <rFont val="Arial"/>
        <sz val="10.0"/>
      </rPr>
      <t xml:space="preserve">Item 2:
</t>
    </r>
    <r>
      <rPr>
        <rFont val="Arial"/>
        <i/>
        <color rgb="FF2F5496"/>
        <sz val="10.0"/>
      </rPr>
      <t>- 08:00  Check-in
- 17:30 check out
- Work hours: 8
- OT: 0
- Missing (hours): 0</t>
    </r>
    <r>
      <rPr>
        <rFont val="Arial"/>
        <sz val="10.0"/>
      </rPr>
      <t xml:space="preserve">
</t>
    </r>
    <r>
      <rPr>
        <rFont val="Arial"/>
        <i/>
        <color rgb="FF2F5496"/>
        <sz val="10.0"/>
      </rPr>
      <t>Status: pending</t>
    </r>
  </si>
  <si>
    <r>
      <rPr/>
      <t xml:space="preserve">1. Go to My attendance
2. Long Click on date you want to create request
</t>
    </r>
    <r>
      <rPr>
        <rFont val="Arial"/>
        <i/>
        <color rgb="FF2F5496"/>
        <sz val="10.0"/>
      </rPr>
      <t>01/01/2018</t>
    </r>
    <r>
      <rPr>
        <rFont val="Arial"/>
        <sz val="10.0"/>
      </rPr>
      <t xml:space="preserve">
3. Click +</t>
    </r>
  </si>
  <si>
    <r>
      <rPr/>
      <t xml:space="preserve">4. Input data
</t>
    </r>
    <r>
      <rPr>
        <rFont val="Arial"/>
        <i/>
        <color rgb="FF2F5496"/>
        <sz val="10.0"/>
      </rPr>
      <t xml:space="preserve">- 08:00  check in
- 17: 30 Check out
- Approver: Mananger 2
</t>
    </r>
    <r>
      <rPr>
        <rFont val="Arial"/>
        <sz val="10.0"/>
      </rPr>
      <t>5. Click send</t>
    </r>
  </si>
  <si>
    <r>
      <rPr/>
      <t xml:space="preserve">A request is created and displayed as one item in detail list
item 1
</t>
    </r>
    <r>
      <rPr>
        <rFont val="Arial"/>
        <i/>
        <color rgb="FF2F5496"/>
        <sz val="10.0"/>
      </rPr>
      <t xml:space="preserve">The application shows list of check-in. check out. detail:
- --:--  Check in
- --:-- Check out
- Work hours: 0
- OT: 0
- Missing (hours): 0
- Off (days): 1
</t>
    </r>
    <r>
      <rPr>
        <rFont val="Arial"/>
        <sz val="10.0"/>
      </rPr>
      <t xml:space="preserve">Item 2:
</t>
    </r>
    <r>
      <rPr>
        <rFont val="Arial"/>
        <i/>
        <color rgb="FF2F5496"/>
        <sz val="10.0"/>
      </rPr>
      <t>- 08:00  Check-in
- 17:30 check out
- Work hours: 8
- OT: 0
- Missing (hours): 0</t>
    </r>
    <r>
      <rPr>
        <rFont val="Arial"/>
        <sz val="10.0"/>
      </rPr>
      <t xml:space="preserve">
</t>
    </r>
    <r>
      <rPr>
        <rFont val="Arial"/>
        <i/>
        <color rgb="FF2F5496"/>
        <sz val="10.0"/>
      </rPr>
      <t>Status: pending</t>
    </r>
  </si>
  <si>
    <t>Login on with employee acc
user: johnson1235
pass: default</t>
  </si>
  <si>
    <t>1. Go to My attendance
2. Long Click on date you want to create request
01/01/2018
3. Click +</t>
  </si>
  <si>
    <r>
      <rPr/>
      <t xml:space="preserve">4. Input data
</t>
    </r>
    <r>
      <rPr>
        <rFont val="Arial"/>
        <i/>
        <color rgb="FF2F5496"/>
        <sz val="10.0"/>
      </rPr>
      <t xml:space="preserve">- 08:00  check in
- Approver: leader1
</t>
    </r>
    <r>
      <rPr>
        <rFont val="Arial"/>
        <sz val="10.0"/>
      </rPr>
      <t>5. Click send</t>
    </r>
  </si>
  <si>
    <r>
      <rPr/>
      <t xml:space="preserve">A request is created and displayed as one item in detail list
item 1
</t>
    </r>
    <r>
      <rPr>
        <rFont val="Arial"/>
        <i/>
        <color rgb="FF2F5496"/>
        <sz val="10.0"/>
      </rPr>
      <t xml:space="preserve">- --:--  Check-in
- 17:30 Check out
- Work hours: 0
- OT: 0
- Missing (hours): 0
</t>
    </r>
    <r>
      <rPr>
        <rFont val="Arial"/>
        <sz val="10.0"/>
      </rPr>
      <t xml:space="preserve">Item 2:
</t>
    </r>
    <r>
      <rPr>
        <rFont val="Arial"/>
        <i/>
        <color rgb="FF2F5496"/>
        <sz val="10.0"/>
      </rPr>
      <t>- 08:00  Check-in
- 17:30 check out
- Work hours: 8
- OT: 0
- Missing (hours): 0</t>
    </r>
    <r>
      <rPr>
        <rFont val="Arial"/>
        <sz val="10.0"/>
      </rPr>
      <t xml:space="preserve">
</t>
    </r>
    <r>
      <rPr>
        <rFont val="Arial"/>
        <i/>
        <color rgb="FF2F5496"/>
        <sz val="10.0"/>
      </rPr>
      <t>Status: pending</t>
    </r>
  </si>
  <si>
    <t>View employee attendance</t>
  </si>
  <si>
    <t>Login with leader role
leader11237</t>
  </si>
  <si>
    <t>Verify that the user can view  attendance of all members</t>
  </si>
  <si>
    <t>1. Go to Attendance record
2. Click Attendance list tab</t>
  </si>
  <si>
    <r>
      <rPr/>
      <t xml:space="preserve">The application shows the list of employee attendance
Each employee is a reacord: detail
</t>
    </r>
    <r>
      <rPr>
        <rFont val="Arial"/>
        <i/>
        <color rgb="FF2F5496"/>
        <sz val="10.0"/>
      </rPr>
      <t xml:space="preserve">Name: Marry
ON ( Days): 1
OT( hours): 1.5
ONG (hours): 4
OW(hours): 8
OH (hours): 8
OFF (days): 0.5
VACATION (Days): 0
</t>
    </r>
  </si>
  <si>
    <t>Login with leader role
manager21242</t>
  </si>
  <si>
    <r>
      <rPr/>
      <t xml:space="preserve">The application shows the list of employee attendance
Each employee is a reacord: detail
</t>
    </r>
    <r>
      <rPr>
        <rFont val="Arial"/>
        <i/>
        <color rgb="FF2F5496"/>
        <sz val="10.0"/>
      </rPr>
      <t xml:space="preserve">Name: Johnson
ON ( Days): 1
OT( hours): 0
ONG (hours): 0
OW(hours): 0
OH (hours): 0
OFF (days): 2 
Vacation: 1
</t>
    </r>
  </si>
  <si>
    <t>View request</t>
  </si>
  <si>
    <t>Verify that the user can view request change work time of member</t>
  </si>
  <si>
    <t>1. Go to Attendance record
2. Click Request tab</t>
  </si>
  <si>
    <r>
      <rPr/>
      <t xml:space="preserve">A record is displayed
</t>
    </r>
    <r>
      <rPr>
        <rFont val="Arial"/>
        <i/>
        <color rgb="FF2F5496"/>
        <sz val="10.0"/>
      </rPr>
      <t>Name: Marry
Date: 11/01/2018
- 08:00  Check-in
- 17:30 check out
- Work hours: 8
- OT: 0
- Missing (hours): 0
Status: pending</t>
    </r>
  </si>
  <si>
    <t>Login with leader role
acc: johnson1235</t>
  </si>
  <si>
    <t>Display message "No record"</t>
  </si>
  <si>
    <t>Approved request</t>
  </si>
  <si>
    <t>Verify that the user can approved the request change work time</t>
  </si>
  <si>
    <t>1. Go to Attendance record
2. Click Request tab
3. Click +
4. Click V</t>
  </si>
  <si>
    <t>The pplication shows confirm popup</t>
  </si>
  <si>
    <t>5. Click No</t>
  </si>
  <si>
    <t xml:space="preserve">The confirm popup is closed
Status of the request still is unchanged
</t>
  </si>
  <si>
    <t>6. Click Yes</t>
  </si>
  <si>
    <t>The confirm popup is closed
Status of the request is changed from pending to approved</t>
  </si>
  <si>
    <t>View status of the request</t>
  </si>
  <si>
    <t>Verify that the user can view the status of request was changed</t>
  </si>
  <si>
    <t>1. Go to My attendance
2. Click on date you want to view detail
11/01/2018</t>
  </si>
  <si>
    <r>
      <rPr/>
      <t xml:space="preserve">A request is created and displayed as one item in detail list
item 1
</t>
    </r>
    <r>
      <rPr>
        <rFont val="Arial"/>
        <i/>
        <color rgb="FF2F5496"/>
        <sz val="10.0"/>
      </rPr>
      <t>- 08:00  Check-in
- 17:30 check out
- Work hours: 8
- OT: 0
- Missing (hours): 0
Status: Approved</t>
    </r>
  </si>
  <si>
    <t>Login with leader role
Manager21242</t>
  </si>
  <si>
    <r>
      <rPr/>
      <t xml:space="preserve">A record is displayed
</t>
    </r>
    <r>
      <rPr>
        <rFont val="Arial"/>
        <i/>
        <color rgb="FF2F5496"/>
        <sz val="10.0"/>
      </rPr>
      <t>Name: Johnson
Date: 01/01/2018
- 08:00  Check-in
- 17:30 check out
- Work hours: 8
- OT: 0
- Missing (hours): 0
Status: pending</t>
    </r>
  </si>
  <si>
    <t>Verify that the user can approved th request change work time</t>
  </si>
  <si>
    <r>
      <rPr/>
      <t xml:space="preserve">1. Go to Attendance record
2. Click Request tab
3. Click +
4. Click x
5. Input reason
</t>
    </r>
    <r>
      <rPr>
        <rFont val="Arial"/>
        <i/>
        <color rgb="FF2F5496"/>
        <sz val="10.0"/>
      </rPr>
      <t>Reject the request of johnson</t>
    </r>
  </si>
  <si>
    <t>The aplication shows confirm popup</t>
  </si>
  <si>
    <t>The confirm popup is closed
Status of the request is changed from pending to rejected 
Reason: Reject the request of johnson</t>
  </si>
  <si>
    <t>1. Go to My attendance
2. Click on date you want to view detail
10/01/2018</t>
  </si>
  <si>
    <r>
      <rPr/>
      <t xml:space="preserve">A request is created and displayed as one item in detail list
item 1
</t>
    </r>
    <r>
      <rPr>
        <rFont val="Arial"/>
        <i/>
        <color rgb="FF2F5496"/>
        <sz val="10.0"/>
      </rPr>
      <t>- 08:00  Check-in
- 17:30 check out
- Work hours: 8
- OT: 0
- Missing (hours): 0
Status: Rejected
Reason: Reject the request of johnson</t>
    </r>
  </si>
  <si>
    <t>View request list</t>
  </si>
  <si>
    <t>Login with acc hr</t>
  </si>
  <si>
    <t>Verify that the user can view request list of all employees</t>
  </si>
  <si>
    <r>
      <rPr/>
      <t xml:space="preserve">The application shows two records:
</t>
    </r>
    <r>
      <rPr>
        <rFont val="Arial"/>
        <i/>
        <color rgb="FF2F5496"/>
        <sz val="10.0"/>
      </rPr>
      <t>--Name: Marry
Date: 11/01/2018
- 08:00  Check-in
- 17:30 check out
- Work hours: 8
- OT: 0
- Missing (hours): 0
Status: Approved
---
- 08:00  Check-in
- 17:30 check out
- Work hours: 8
- OT: 0
- Missing (hours): 0
Status: Rejected
Reason: Reject the request of johnson</t>
    </r>
  </si>
  <si>
    <t>Verify that the user can view attendance of all employees</t>
  </si>
  <si>
    <r>
      <rPr>
        <rFont val="Arial"/>
        <sz val="10.0"/>
      </rPr>
      <t>The application shows two records:</t>
    </r>
    <r>
      <rPr>
        <rFont val="Arial"/>
        <i/>
        <color rgb="FF2F5496"/>
        <sz val="10.0"/>
      </rPr>
      <t xml:space="preserve">
Name: Marry
ON ( Days): 1
OT( hours): 1.5
ONG (hours): 4
OW(hours): 8
OH (hours): 8
OFF (days): 0.5
Vacation: 0
---
Johnson
ON ( Days): 1
OT( hours): 0
ONG (hours): 0
OW(hours): 0
OH (hours): 0
OFF (days): 2 
Vacation: 1
</t>
    </r>
  </si>
  <si>
    <t>3. Click on the record</t>
  </si>
  <si>
    <t>Show detail screen</t>
  </si>
  <si>
    <t>Timesheet</t>
  </si>
  <si>
    <t>Assuming that, 
Timesheet is locked on the last day of the week</t>
  </si>
  <si>
    <t>Create timesheet</t>
  </si>
  <si>
    <t>Verify that the user can create timesheet</t>
  </si>
  <si>
    <t xml:space="preserve">1. Go to timesheet
</t>
  </si>
  <si>
    <t>The application show current week calendar
The application focus current date and displays activities on current date</t>
  </si>
  <si>
    <r>
      <rPr/>
      <t xml:space="preserve">2.Click on date that you want to declare
3. Input data:
</t>
    </r>
    <r>
      <rPr>
        <rFont val="Arial"/>
        <i/>
        <color rgb="FF2F5496"/>
        <sz val="10.0"/>
      </rPr>
      <t>Avtivity: check order
hours: 4h</t>
    </r>
    <r>
      <rPr>
        <rFont val="Arial"/>
        <sz val="10.0"/>
      </rPr>
      <t xml:space="preserve">
4. Click save</t>
    </r>
  </si>
  <si>
    <r>
      <rPr/>
      <t xml:space="preserve">My time sheet is added one record:
</t>
    </r>
    <r>
      <rPr>
        <rFont val="Arial"/>
        <i/>
        <color rgb="FF2F5496"/>
        <sz val="10.0"/>
      </rPr>
      <t>Avtivity: check order
hours: 4h
Date: 01/01/2018</t>
    </r>
  </si>
  <si>
    <t>Edit timesheet</t>
  </si>
  <si>
    <t>Verify that the user can edit timesheet</t>
  </si>
  <si>
    <t xml:space="preserve">1. Go to timesheet
2. Click on date in calendar
3. Click edit action 
</t>
  </si>
  <si>
    <r>
      <rPr/>
      <t xml:space="preserve">2. The application shows activities in date
</t>
    </r>
    <r>
      <rPr>
        <rFont val="Arial"/>
        <i/>
        <color rgb="FF2F5496"/>
        <sz val="10.0"/>
      </rPr>
      <t>Avtivity: check order
hours: 4h
Date: 01/01/2018</t>
    </r>
  </si>
  <si>
    <r>
      <rPr/>
      <t xml:space="preserve">4. Click Edit at the first item
5. Input data
</t>
    </r>
    <r>
      <rPr>
        <rFont val="Arial"/>
        <i/>
        <color rgb="FF2F5496"/>
        <sz val="10.0"/>
      </rPr>
      <t>Avtivity: check order
hours: 8h</t>
    </r>
    <r>
      <rPr>
        <rFont val="Arial"/>
        <sz val="10.0"/>
      </rPr>
      <t xml:space="preserve">
6. Click save</t>
    </r>
  </si>
  <si>
    <r>
      <rPr/>
      <t xml:space="preserve">A record is updated in list
</t>
    </r>
    <r>
      <rPr>
        <rFont val="Arial"/>
        <i/>
        <color rgb="FF2F5496"/>
        <sz val="10.0"/>
      </rPr>
      <t>Avtivity: check order
hours: 8h
date: 01/01/2018</t>
    </r>
  </si>
  <si>
    <t>Verify that the user can not edit time sheet of previous week</t>
  </si>
  <si>
    <t>1. Click edit at acivitie of previous week</t>
  </si>
  <si>
    <t>Shows error " My time sheet is locked"</t>
  </si>
  <si>
    <t>Verify that the user can delete timesheet</t>
  </si>
  <si>
    <t xml:space="preserve">1. Go to timesheet
2. Click on date in calendar
3. Click delete action 
</t>
  </si>
  <si>
    <t>2. The application show confirm</t>
  </si>
  <si>
    <t>A record is removed</t>
  </si>
  <si>
    <t>Verify that the user can not delete time sheet of previous week</t>
  </si>
  <si>
    <t>1. Click delete at acivitie of previous week</t>
  </si>
  <si>
    <t>View member timesheet</t>
  </si>
  <si>
    <t>7. Training</t>
  </si>
  <si>
    <t>Training plan</t>
  </si>
  <si>
    <t>Trainer</t>
  </si>
  <si>
    <t>View the Training plan list</t>
  </si>
  <si>
    <r>
      <rPr/>
      <t xml:space="preserve">Login with Trainer account: </t>
    </r>
    <r>
      <rPr>
        <rFont val="Arial"/>
        <sz val="10.0"/>
      </rPr>
      <t>trainer</t>
    </r>
    <r>
      <rPr>
        <rFont val="Arial"/>
        <color rgb="FF000000"/>
        <sz val="10.0"/>
      </rPr>
      <t xml:space="preserve">
Training plans is available in the list</t>
    </r>
  </si>
  <si>
    <t>Verify that Trainer can view the training plan</t>
  </si>
  <si>
    <t>1. Open left menu
2. Tap on Training button
3. Tap on My training list button</t>
  </si>
  <si>
    <t>Displays message "No record"</t>
  </si>
  <si>
    <t>Create Training plan</t>
  </si>
  <si>
    <t>Login with Trainer account: trainer</t>
  </si>
  <si>
    <t>Verify that Trainer can create the training plan successfully</t>
  </si>
  <si>
    <r>
      <rPr/>
      <t xml:space="preserve">1. Open Left menu
2. Tap on Training button
3. Tap on Creation button
4. Input all require fields
</t>
    </r>
    <r>
      <rPr>
        <rFont val="Arial"/>
        <i/>
        <color rgb="FF2F5496"/>
        <sz val="10.0"/>
      </rPr>
      <t>From: 1/1/2018
To: 2/2/2018
Start time: 10:00
End time: 12:00
Persion in charge: trainer
Course: Risk management
Location: Meeting room 1
Description: Risk management for team leader
- Attach document: No attach
Approver: manager1</t>
    </r>
    <r>
      <rPr>
        <rFont val="Arial"/>
        <color rgb="FF000000"/>
        <sz val="10.0"/>
      </rPr>
      <t xml:space="preserve">
5. Tap on Save button</t>
    </r>
  </si>
  <si>
    <r>
      <rPr/>
      <t xml:space="preserve">The training plan will be save with Draft status and display in the list training course with following info: 
</t>
    </r>
    <r>
      <rPr>
        <rFont val="Arial"/>
        <i/>
        <color rgb="FF2F5496"/>
        <sz val="10.0"/>
      </rPr>
      <t xml:space="preserve">From: 1/1/2018 
To: 2/2/2018 
Duration: 4h
Persion in charge: trainer 
Course: Risk management 
Location: Meeting room 1 </t>
    </r>
    <r>
      <rPr>
        <rFont val="Arial"/>
        <i/>
        <color rgb="FF2F5496"/>
        <sz val="10.0"/>
      </rPr>
      <t xml:space="preserve">
Trainee: 0
Status: Draft</t>
    </r>
  </si>
  <si>
    <t>Edit Training plan</t>
  </si>
  <si>
    <t>Verify that Trainer can Edit the training plan was save without submit</t>
  </si>
  <si>
    <r>
      <rPr/>
      <t xml:space="preserve">1. Tap on the Draft training plan
2, Edit some information
</t>
    </r>
    <r>
      <rPr>
        <rFont val="Arial"/>
        <i/>
        <color rgb="FF2F5496"/>
        <sz val="10.0"/>
      </rPr>
      <t>From: 1/1/2018
To: 2/2/2018
Start time: 10:00
End time: 12:00
Persion in charge: trainer
Course: Risk management
Location: Meeting room 1 --&gt; Meeting room 2
Description: Risk management for team leader
- Attach document: a.pdf
Approver: manager1</t>
    </r>
    <r>
      <rPr>
        <rFont val="Arial"/>
        <color rgb="FF000000"/>
        <sz val="10.0"/>
      </rPr>
      <t xml:space="preserve">
3. Tap on Save button</t>
    </r>
  </si>
  <si>
    <r>
      <rPr/>
      <t xml:space="preserve">The Editing will be save with Draft status and display in the list training course with following info: 
</t>
    </r>
    <r>
      <rPr>
        <rFont val="Arial"/>
        <i/>
        <color rgb="FF2F5496"/>
        <sz val="10.0"/>
      </rPr>
      <t>From: 2/1/2018
To: 3/2/2018
Persion in charge: trainer2
Course: Risk management
Location: Meeting room 2
Trainee: 0
Status: Draft</t>
    </r>
  </si>
  <si>
    <t>Search the Training plan</t>
  </si>
  <si>
    <t>Verify that Trainer can search the training plan</t>
  </si>
  <si>
    <r>
      <rPr/>
      <t xml:space="preserve">1. Open training list
2. Select start day, end day and status
</t>
    </r>
    <r>
      <rPr>
        <rFont val="Arial"/>
        <i/>
        <color rgb="FF2F5496"/>
        <sz val="10.0"/>
      </rPr>
      <t xml:space="preserve">From: 1/1/2018
To: 3/3/2018
Status: Draft
</t>
    </r>
    <r>
      <rPr>
        <rFont val="Arial"/>
        <color rgb="FF000000"/>
        <sz val="10.0"/>
      </rPr>
      <t xml:space="preserve">3. Tap on Search button
</t>
    </r>
  </si>
  <si>
    <r>
      <rPr/>
      <t xml:space="preserve">The application shows one record map with all search condition
</t>
    </r>
    <r>
      <rPr>
        <rFont val="Arial"/>
        <i/>
        <color rgb="FF2F5496"/>
        <sz val="10.0"/>
      </rPr>
      <t>From: 1/1/2018 
To: 2/2/2018 
Course: Risk management 
Location: Meeting room 1 
Duration: 4h
Persion in charge: trainer 
Trainee: 0
Status: Draft</t>
    </r>
  </si>
  <si>
    <t>Verify that Trainer can view training detail</t>
  </si>
  <si>
    <t xml:space="preserve">1. Open training list
2. Clcik view detail
</t>
  </si>
  <si>
    <r>
      <rPr/>
      <t xml:space="preserve">The application shows one record map with all search condition
</t>
    </r>
    <r>
      <rPr>
        <rFont val="Arial"/>
        <i/>
        <color rgb="FF2F5496"/>
        <sz val="10.0"/>
      </rPr>
      <t>From: 1/1/2018 
To: 2/2/2018 
Time : 10:00 -12:00
Course: Risk management 
Location: Meeting room 1 
Persion in charge: trainer 
Description: Risk management for team leader
- Attach document: a.pdf</t>
    </r>
  </si>
  <si>
    <t>3. Download attachment</t>
  </si>
  <si>
    <t>Download successful 
The content and format of attach file correctly and fully</t>
  </si>
  <si>
    <t>Delete Training plan</t>
  </si>
  <si>
    <t>Verify that Trainer can Delete the training plan was save without submit</t>
  </si>
  <si>
    <t>1. Open My training list
2. Tap on Delete icon in the plan that trainer want to edit
3. Tap on YES button in the confirmation pop up</t>
  </si>
  <si>
    <r>
      <rPr/>
      <t xml:space="preserve">At step 2: The confirmation pop up display with a message
</t>
    </r>
    <r>
      <rPr>
        <rFont val="Arial"/>
        <i/>
        <color rgb="FF2F5496"/>
        <sz val="10.0"/>
      </rPr>
      <t xml:space="preserve">"Do you want to delete this plan?"
</t>
    </r>
    <r>
      <rPr>
        <rFont val="Arial"/>
        <color rgb="FF000000"/>
        <sz val="10.0"/>
      </rPr>
      <t>with two button Yes/No
At step 3: This plan will be removed from the list</t>
    </r>
  </si>
  <si>
    <t>Submit Training plan to Manager from training list</t>
  </si>
  <si>
    <r>
      <rPr/>
      <t xml:space="preserve">Login with Trainer account: trainer
Creating draft training plan in the list with info
</t>
    </r>
    <r>
      <rPr>
        <rFont val="Arial"/>
        <i/>
        <color rgb="FF2F5496"/>
        <sz val="10.0"/>
      </rPr>
      <t>From: 1/1/2018
To: 2/2/2018
Start time: 10:00
End time: 12:00
Persion in charge: trainer
Course: Risk management
Location: Meeting room 1 --&gt; Meeting room 2
Description: Risk management for team leader
- Attach document: a.pdf</t>
    </r>
  </si>
  <si>
    <t>Verify that Trainer can Submit the training plan was save without submit</t>
  </si>
  <si>
    <t>1. Open training list
2. Tap on training plan that trainer want to submit
3. In the plan details screen, tap on Submit button</t>
  </si>
  <si>
    <r>
      <rPr/>
      <t xml:space="preserve">At step 2: The training plan detail screen will be displayed
At step 3: A message display with content: 
</t>
    </r>
    <r>
      <rPr>
        <rFont val="Arial"/>
        <i/>
        <color rgb="FF2F5496"/>
        <sz val="10.0"/>
      </rPr>
      <t>"Your plan was submit successfully!"</t>
    </r>
    <r>
      <rPr>
        <rFont val="Arial"/>
        <color rgb="FF000000"/>
        <sz val="10.0"/>
      </rPr>
      <t xml:space="preserve">
The training list will reload, this plan will be changed the status from Draft to Pending approval
This plan will display in the "Pending approval" tab</t>
    </r>
  </si>
  <si>
    <t>Create and send to manager from create screen</t>
  </si>
  <si>
    <t>Login with trainer acc
acc: Trainer</t>
  </si>
  <si>
    <t>Verify that the user can create and send training plan at create screen</t>
  </si>
  <si>
    <r>
      <rPr/>
      <t xml:space="preserve">1. Open Left menu
2. Tap on Training button
3. Tap on Creation button
4. Input all require fields
</t>
    </r>
    <r>
      <rPr>
        <rFont val="Arial"/>
        <i/>
        <color rgb="FF2F5496"/>
        <sz val="10.0"/>
      </rPr>
      <t>From: 1/1/2018
To: 2/2/2018
Start time: 10:00
End time: 12:00
Persion in charge: trainer
Course: Risk management
Location: Meeting room 2
Description: Risk management for team leader
- Attach document: abc.docx
Approver: manager1</t>
    </r>
    <r>
      <rPr>
        <rFont val="Arial"/>
        <color rgb="FF000000"/>
        <sz val="10.0"/>
      </rPr>
      <t xml:space="preserve">
5. Tap on Save and send button</t>
    </r>
  </si>
  <si>
    <t>The training plan will be saved with "Pending approval" status</t>
  </si>
  <si>
    <t>View training list</t>
  </si>
  <si>
    <r>
      <rPr/>
      <t xml:space="preserve">Login with manager
</t>
    </r>
    <r>
      <rPr>
        <rFont val="Arial"/>
        <color rgb="FF2F5496"/>
        <sz val="10.0"/>
      </rPr>
      <t>acc:manager11238</t>
    </r>
  </si>
  <si>
    <t>Verify that the user can view traning list</t>
  </si>
  <si>
    <t>1. Go to Home page</t>
  </si>
  <si>
    <t>Notification will display on the dashboard of Manager
Training plan: 2</t>
  </si>
  <si>
    <t>2. Go to Training</t>
  </si>
  <si>
    <t xml:space="preserve">The application shows two records is sent to manager </t>
  </si>
  <si>
    <r>
      <rPr/>
      <t xml:space="preserve">Login with manager
</t>
    </r>
    <r>
      <rPr>
        <rFont val="Arial"/>
        <color rgb="FF2F5496"/>
        <sz val="10.0"/>
      </rPr>
      <t>acc:manager21242</t>
    </r>
  </si>
  <si>
    <t>1. Go to training</t>
  </si>
  <si>
    <t>The application shows message " No record"</t>
  </si>
  <si>
    <t>Approve training</t>
  </si>
  <si>
    <r>
      <rPr/>
      <t xml:space="preserve">Login with manager 
</t>
    </r>
    <r>
      <rPr>
        <rFont val="Arial"/>
        <color rgb="FF2F5496"/>
        <sz val="10.0"/>
      </rPr>
      <t>Manager11238</t>
    </r>
  </si>
  <si>
    <t>Verify that the user can approve the training plan</t>
  </si>
  <si>
    <t>1. Go to Training
2. Click Pending approval tab</t>
  </si>
  <si>
    <r>
      <rPr/>
      <t xml:space="preserve">The application shows two records:
</t>
    </r>
    <r>
      <rPr>
        <rFont val="Arial"/>
        <i/>
        <color rgb="FF2F5496"/>
        <sz val="10.0"/>
      </rPr>
      <t>From: 1/1/2018 
To: 2/2/2018 
Course: Risk management 
Location: Meeting room 1 
Duration: 4h
Persion in charge: trainer 
Description: Risk management for team leader
Status: Pending approval</t>
    </r>
    <r>
      <rPr>
        <rFont val="Arial"/>
        <color rgb="FF000000"/>
        <sz val="10.0"/>
      </rPr>
      <t xml:space="preserve">
----
</t>
    </r>
    <r>
      <rPr>
        <rFont val="Arial"/>
        <i/>
        <color rgb="FF2F5496"/>
        <sz val="10.0"/>
      </rPr>
      <t>From: 1/1/2018 
To: 2/2/2018 
Duration: 4h
Persion in charge: trainer 
Course: Risk management 
Location: Meeting room 2
Description: Risk management for team leader
Status: Pending approval</t>
    </r>
    <r>
      <rPr>
        <rFont val="Arial"/>
        <color rgb="FF000000"/>
        <sz val="10.0"/>
      </rPr>
      <t xml:space="preserve">
</t>
    </r>
  </si>
  <si>
    <t>3. Click Approve at first record ( Meeting 1)</t>
  </si>
  <si>
    <t>The application shows confirm popup</t>
  </si>
  <si>
    <t>4. Click yes</t>
  </si>
  <si>
    <t>The status of training plan is changed from pending to publish</t>
  </si>
  <si>
    <r>
      <rPr/>
      <t xml:space="preserve">Login with manager 
</t>
    </r>
    <r>
      <rPr>
        <rFont val="Arial"/>
        <color rgb="FF2F5496"/>
        <sz val="10.0"/>
      </rPr>
      <t>Manager11238</t>
    </r>
  </si>
  <si>
    <r>
      <rPr/>
      <t xml:space="preserve">The application shows two records:
</t>
    </r>
    <r>
      <rPr>
        <rFont val="Arial"/>
        <i/>
        <color rgb="FF2F5496"/>
        <sz val="10.0"/>
      </rPr>
      <t>From: 1/1/2018 
To: 2/2/2018 
Course: Risk management 
Location: Meeting room 1 
Duration: 4h
Persion in charge: trainer 
Description: Risk management for team leader
Status: Pending approval</t>
    </r>
    <r>
      <rPr>
        <rFont val="Arial"/>
        <color rgb="FF000000"/>
        <sz val="10.0"/>
      </rPr>
      <t xml:space="preserve">
----
</t>
    </r>
    <r>
      <rPr>
        <rFont val="Arial"/>
        <i/>
        <color rgb="FF2F5496"/>
        <sz val="10.0"/>
      </rPr>
      <t>From: 1/1/2018 
To: 2/2/2018 
Duration: 4h
Persion in charge: trainer 
Course: Risk management 
Location: Meeting room 2
Description: Risk management for team leader
Status: Pending approval</t>
    </r>
    <r>
      <rPr>
        <rFont val="Arial"/>
        <color rgb="FF000000"/>
        <sz val="10.0"/>
      </rPr>
      <t xml:space="preserve">
</t>
    </r>
  </si>
  <si>
    <r>
      <rPr/>
      <t xml:space="preserve">3. Click Reject  at first record ( Meeting 2)
4. Input data
</t>
    </r>
    <r>
      <rPr>
        <rFont val="Arial"/>
        <i/>
        <color rgb="FF2F5496"/>
        <sz val="10.0"/>
      </rPr>
      <t>Reject reason</t>
    </r>
  </si>
  <si>
    <t>5. Click yes</t>
  </si>
  <si>
    <t>The status of training plan is changed from pending to Approved</t>
  </si>
  <si>
    <t>View change of training list</t>
  </si>
  <si>
    <t>Login with trainer
acc: Trainer</t>
  </si>
  <si>
    <t>Verify that the user can view change status inTraining list after the mananger processed</t>
  </si>
  <si>
    <t>1. Go to Training
2. Click Training list</t>
  </si>
  <si>
    <r>
      <rPr/>
      <t xml:space="preserve">The application shows two records:
</t>
    </r>
    <r>
      <rPr>
        <rFont val="Arial"/>
        <i/>
        <color rgb="FF2F5496"/>
        <sz val="10.0"/>
      </rPr>
      <t>From: 1/1/2018 
To: 2/2/2018 
Course: Risk management 
Location: Meeting room 1 
Duration: 4h
Persion in charge: trainer 
Description: Risk management for team leader
Status: Approved</t>
    </r>
    <r>
      <rPr>
        <rFont val="Arial"/>
        <color rgb="FF000000"/>
        <sz val="10.0"/>
      </rPr>
      <t xml:space="preserve">
----
</t>
    </r>
    <r>
      <rPr>
        <rFont val="Arial"/>
        <i/>
        <color rgb="FF2F5496"/>
        <sz val="10.0"/>
      </rPr>
      <t>From: 1/1/2018 
To: 2/2/2018 
Duration: 4h
Persion in charge: trainer 
Course: Risk management 
Location: Meeting room 2
Description: Risk management for team leader
Status: Rejected
Comment: Reject reason</t>
    </r>
  </si>
  <si>
    <t>Change status to In process
Establish the enroll time</t>
  </si>
  <si>
    <t>Login with Trainer account: trainer
When the traing course is aproved</t>
  </si>
  <si>
    <r>
      <rPr/>
      <t xml:space="preserve">Verify that Trainer can Change status the training course from </t>
    </r>
    <r>
      <rPr>
        <rFont val="Arial"/>
        <b/>
        <color rgb="FF000000"/>
        <sz val="10.0"/>
      </rPr>
      <t xml:space="preserve">Approved or Pause </t>
    </r>
    <r>
      <rPr>
        <rFont val="Arial"/>
        <color rgb="FF000000"/>
        <sz val="10.0"/>
      </rPr>
      <t xml:space="preserve">to </t>
    </r>
    <r>
      <rPr>
        <rFont val="Arial"/>
        <b/>
        <color rgb="FF000000"/>
        <sz val="10.0"/>
      </rPr>
      <t xml:space="preserve">In process </t>
    </r>
    <r>
      <rPr>
        <rFont val="Arial"/>
        <color rgb="FF000000"/>
        <sz val="10.0"/>
      </rPr>
      <t>anh Establish the enroll time</t>
    </r>
  </si>
  <si>
    <r>
      <rPr/>
      <t xml:space="preserve">1. Open Mytraining list
2. Tap on the Course that was approved by Manager
3. Change status from Approved to In process
4. Establish the enroll time 
</t>
    </r>
    <r>
      <rPr>
        <rFont val="Arial"/>
        <i/>
        <color rgb="FF2F5496"/>
        <sz val="10.0"/>
      </rPr>
      <t xml:space="preserve">15/12/2018-30/12/2018
</t>
    </r>
    <r>
      <rPr>
        <rFont val="Arial"/>
        <color rgb="FF000000"/>
        <sz val="10.0"/>
      </rPr>
      <t>4, Tap on save button</t>
    </r>
  </si>
  <si>
    <t>Status of this Course will be changed to In process
Employee can be see and enroll this course during the enroll time</t>
  </si>
  <si>
    <t>Change status to Cancel</t>
  </si>
  <si>
    <t>Login with Trainer account: trainer
When the traing course is Approved or Inprocess</t>
  </si>
  <si>
    <r>
      <rPr/>
      <t xml:space="preserve">Verify that Trainer can Change status the training course from </t>
    </r>
    <r>
      <rPr>
        <rFont val="Arial"/>
        <b/>
        <color rgb="FF000000"/>
        <sz val="10.0"/>
      </rPr>
      <t>In process</t>
    </r>
    <r>
      <rPr>
        <rFont val="Arial"/>
        <color rgb="FF000000"/>
        <sz val="10.0"/>
      </rPr>
      <t xml:space="preserve"> or </t>
    </r>
    <r>
      <rPr>
        <rFont val="Arial"/>
        <b/>
        <color rgb="FF000000"/>
        <sz val="10.0"/>
      </rPr>
      <t>Approved</t>
    </r>
    <r>
      <rPr>
        <rFont val="Arial"/>
        <color rgb="FF000000"/>
        <sz val="10.0"/>
      </rPr>
      <t xml:space="preserve"> to </t>
    </r>
    <r>
      <rPr>
        <rFont val="Arial"/>
        <b/>
        <color rgb="FF000000"/>
        <sz val="10.0"/>
      </rPr>
      <t>Cancel</t>
    </r>
  </si>
  <si>
    <t>1. Open My Training list
2. Tap on Cancel button in the Course that trainer want to cancel
3. Tap on buton Yes in confirmation pop up</t>
  </si>
  <si>
    <r>
      <rPr/>
      <t xml:space="preserve">At step 2: The confirmation pop up display with a message
</t>
    </r>
    <r>
      <rPr>
        <rFont val="Arial"/>
        <i/>
        <color rgb="FF2F5496"/>
        <sz val="10.0"/>
      </rPr>
      <t xml:space="preserve">"Do you want to Cancel this Coures?"
</t>
    </r>
    <r>
      <rPr>
        <rFont val="Arial"/>
        <color rgb="FF000000"/>
        <sz val="10.0"/>
      </rPr>
      <t>At step 3: Status of this Course will be changed to Cancel</t>
    </r>
  </si>
  <si>
    <t>Change status to Pause</t>
  </si>
  <si>
    <r>
      <rPr/>
      <t xml:space="preserve">Verify that Trainer can Change status the training course from </t>
    </r>
    <r>
      <rPr>
        <rFont val="Arial"/>
        <b/>
        <color rgb="FF000000"/>
        <sz val="10.0"/>
      </rPr>
      <t>In process</t>
    </r>
    <r>
      <rPr>
        <rFont val="Arial"/>
        <color rgb="FF000000"/>
        <sz val="10.0"/>
      </rPr>
      <t xml:space="preserve"> to </t>
    </r>
    <r>
      <rPr>
        <rFont val="Arial"/>
        <b/>
        <color rgb="FF000000"/>
        <sz val="10.0"/>
      </rPr>
      <t>Pause</t>
    </r>
  </si>
  <si>
    <t>1. Open My Training list
2. Tap on Pause button in the course that trainer want to pause
3. Tap on Yes button in confirmation pop up</t>
  </si>
  <si>
    <r>
      <rPr/>
      <t xml:space="preserve">At step 2: The confirmation pop up display with a message
</t>
    </r>
    <r>
      <rPr>
        <rFont val="Arial"/>
        <i/>
        <color rgb="FF2F5496"/>
        <sz val="10.0"/>
      </rPr>
      <t xml:space="preserve">"Do you want to Pause this Coures?"
</t>
    </r>
    <r>
      <rPr>
        <rFont val="Arial"/>
        <color rgb="FF000000"/>
        <sz val="10.0"/>
      </rPr>
      <t xml:space="preserve">At step 3: Status of this Course will be changed to Pause
The status of this course can be changed to </t>
    </r>
    <r>
      <rPr>
        <rFont val="Arial"/>
        <b/>
        <color rgb="FF000000"/>
        <sz val="10.0"/>
      </rPr>
      <t>In process</t>
    </r>
  </si>
  <si>
    <t xml:space="preserve">Enroll </t>
  </si>
  <si>
    <t>View Training course</t>
  </si>
  <si>
    <r>
      <rPr/>
      <t xml:space="preserve">Login with employee account
</t>
    </r>
    <r>
      <rPr>
        <rFont val="Arial"/>
        <i/>
        <color rgb="FF2F5496"/>
        <sz val="10.0"/>
      </rPr>
      <t>marry1234</t>
    </r>
  </si>
  <si>
    <t>Verify that Employee can view available training course list</t>
  </si>
  <si>
    <t>1. Tap on training button from the Home page</t>
  </si>
  <si>
    <r>
      <rPr/>
      <t xml:space="preserve">The training course list display
All the available course display in the list by decreasing order
Detail
</t>
    </r>
    <r>
      <rPr>
        <rFont val="Arial"/>
        <i/>
        <color rgb="FF2F5496"/>
        <sz val="10.0"/>
      </rPr>
      <t>From: 1/1/2018 
To: 2/2/2018 
Course: Risk management 
Location: Meeting room 1 
Duration: 4h
Persion in charge: trainer 
Trainee: 1
Status: Processing</t>
    </r>
    <r>
      <rPr>
        <rFont val="Arial"/>
        <color rgb="FF000000"/>
        <sz val="10.0"/>
      </rPr>
      <t xml:space="preserve">
</t>
    </r>
  </si>
  <si>
    <t>Enroll Training course</t>
  </si>
  <si>
    <r>
      <rPr/>
      <t xml:space="preserve">Login with employee account
</t>
    </r>
    <r>
      <rPr>
        <rFont val="Arial"/>
        <i/>
        <color rgb="FF2F5496"/>
        <sz val="10.0"/>
      </rPr>
      <t>marry1234</t>
    </r>
  </si>
  <si>
    <t>Verify that Employee can Enroll available training course</t>
  </si>
  <si>
    <t>1. Tap on the traning course that user want to enroll</t>
  </si>
  <si>
    <t>The message display: "You enroll successful!..."
The icon display in this course with meaning that you enrolled</t>
  </si>
  <si>
    <t>View the list of registered courses</t>
  </si>
  <si>
    <t>verify that the user can view the lis of enrolled cousers</t>
  </si>
  <si>
    <t>1. Go to Training
2. Click My Training</t>
  </si>
  <si>
    <r>
      <rPr/>
      <t xml:space="preserve">The application shows courses is enrolled. Detail
</t>
    </r>
    <r>
      <rPr>
        <rFont val="Arial"/>
        <i/>
        <color rgb="FF2F5496"/>
        <sz val="10.0"/>
      </rPr>
      <t>From: 1/1/2018 
To: 2/2/2018 
Course: Risk management 
Location: Meeting room 1 
Duration: 4h
Persion in charge: trainer 
Trainee: 1
Status: Processing</t>
    </r>
  </si>
  <si>
    <t>Login with employee account: marry1234</t>
  </si>
  <si>
    <t xml:space="preserve">1. Open My training list
2. Click view detail
</t>
  </si>
  <si>
    <r>
      <rPr/>
      <t xml:space="preserve">The application shows one record map with all search condition
</t>
    </r>
    <r>
      <rPr>
        <rFont val="Arial"/>
        <i/>
        <color rgb="FF2F5496"/>
        <sz val="10.0"/>
      </rPr>
      <t>From: 1/1/2018 
To: 2/2/2018 
Time : 10:00 -12:00
Course: Risk management 
Location: Meeting room 1 
Persion in charge: trainer 
Description: Risk management for team leader
- Attach document: a.pdf</t>
    </r>
  </si>
  <si>
    <t>Enroll when the enrollment time has expired</t>
  </si>
  <si>
    <r>
      <rPr/>
      <t xml:space="preserve">Login with employee account
</t>
    </r>
    <r>
      <rPr>
        <rFont val="Arial"/>
        <i/>
        <color rgb="FF2F5496"/>
        <sz val="10.0"/>
      </rPr>
      <t>marry1234</t>
    </r>
  </si>
  <si>
    <t>Verify that Employee cannot Enroll when the enrollment time has expired</t>
  </si>
  <si>
    <t xml:space="preserve">1. Click enroll </t>
  </si>
  <si>
    <t>The message display: " The enrollment period has expired"</t>
  </si>
  <si>
    <t>Training Evaluation</t>
  </si>
  <si>
    <t>View trainee list</t>
  </si>
  <si>
    <r>
      <rPr/>
      <t xml:space="preserve">Login with Trainer account: </t>
    </r>
    <r>
      <rPr>
        <rFont val="Arial"/>
        <i/>
        <color rgb="FF2F5496"/>
        <sz val="10.0"/>
      </rPr>
      <t xml:space="preserve">trainer1
</t>
    </r>
    <r>
      <rPr>
        <rFont val="Arial"/>
        <color rgb="FF000000"/>
        <sz val="10.0"/>
      </rPr>
      <t>The completed course is available</t>
    </r>
  </si>
  <si>
    <t>Verify that Trainer can view the trainee list of each course</t>
  </si>
  <si>
    <t>1. Open My Course List
2. Tap on the course that In process
3. Tap on trainee List button</t>
  </si>
  <si>
    <t xml:space="preserve">The list of trainee display
</t>
  </si>
  <si>
    <t>Evaluate trainee</t>
  </si>
  <si>
    <r>
      <rPr/>
      <t xml:space="preserve">Login with Trainer account: </t>
    </r>
    <r>
      <rPr>
        <rFont val="Arial"/>
        <i/>
        <color rgb="FF2F5496"/>
        <sz val="10.0"/>
      </rPr>
      <t xml:space="preserve">trainer1
</t>
    </r>
    <r>
      <rPr>
        <rFont val="Arial"/>
        <color rgb="FF000000"/>
        <sz val="10.0"/>
      </rPr>
      <t>The completed course is available</t>
    </r>
  </si>
  <si>
    <t>Verify that Trainer can Evaluate the trainee of each course</t>
  </si>
  <si>
    <t xml:space="preserve">1. Open the Trainee list
2. Tap on the trainee that trainer want to evaluate
3. On the Evaluate dropbox, Choose the status: Excelent, Good, Medium, Low
</t>
  </si>
  <si>
    <t>The list of trainee display with the evaluation of each employee</t>
  </si>
  <si>
    <t>Set completed the course</t>
  </si>
  <si>
    <t>Login with Trainer account: trainer
When the training course is completed</t>
  </si>
  <si>
    <r>
      <rPr/>
      <t xml:space="preserve">Verify that Trainer can Change status the training course from </t>
    </r>
    <r>
      <rPr>
        <rFont val="Arial"/>
        <b/>
        <color rgb="FF000000"/>
        <sz val="10.0"/>
      </rPr>
      <t>In process</t>
    </r>
    <r>
      <rPr>
        <rFont val="Arial"/>
        <color rgb="FF000000"/>
        <sz val="10.0"/>
      </rPr>
      <t xml:space="preserve"> to </t>
    </r>
    <r>
      <rPr>
        <rFont val="Arial"/>
        <b/>
        <color rgb="FF000000"/>
        <sz val="10.0"/>
      </rPr>
      <t>Completed</t>
    </r>
  </si>
  <si>
    <t>1. Open My training list
2. Tap on the Course that completed
3. Change status from In process to Completed
4, Tap on save button</t>
  </si>
  <si>
    <t>Status of this Course will be changed to Completed</t>
  </si>
  <si>
    <t>8. KPI</t>
  </si>
  <si>
    <t>Assuming that, 
KPI is assign to each employee</t>
  </si>
  <si>
    <t>Create KPI</t>
  </si>
  <si>
    <t>Login on web with leader role
acc: leader1</t>
  </si>
  <si>
    <t>Verify the user can create KPI</t>
  </si>
  <si>
    <r>
      <rPr/>
      <t xml:space="preserve">1. Go to KPI
2. Click Create
3. Input data
</t>
    </r>
    <r>
      <rPr>
        <rFont val="Arial"/>
        <i/>
        <color rgb="FF2F5496"/>
        <sz val="10.0"/>
      </rPr>
      <t xml:space="preserve">- From: 01/01/2018
- To: 31/03/2018
- Name: KPI of the first quarter
- Department: Delivery room
- Objective
1. Criteria 1 
weight : 30%
Target: 1000
Note
1. Criteria 2 
weight : 70%
Target: 1000
Note
Assignee
All Employees of Delivery room
</t>
    </r>
    <r>
      <rPr>
        <rFont val="Arial"/>
        <color rgb="FF000000"/>
        <sz val="10.0"/>
      </rPr>
      <t xml:space="preserve">
</t>
    </r>
  </si>
  <si>
    <r>
      <rPr/>
      <t xml:space="preserve">3. After choosing department, the system automatically dislays Person in charge is all employee of department
</t>
    </r>
    <r>
      <rPr>
        <rFont val="Arial"/>
        <i/>
        <color rgb="FF2F5496"/>
        <sz val="10.0"/>
      </rPr>
      <t>Marry1234</t>
    </r>
  </si>
  <si>
    <t xml:space="preserve">4. Click save </t>
  </si>
  <si>
    <r>
      <rPr/>
      <t xml:space="preserve">KPI is created in Draft status
</t>
    </r>
    <r>
      <rPr>
        <rFont val="Arial"/>
        <i/>
        <color rgb="FF2F5496"/>
        <sz val="10.0"/>
      </rPr>
      <t xml:space="preserve">KPI list of leader has one record
Period: 01/01/2018 - 31/03/2018
Name: KPI of th first quarter
Department: delivery room
Status: draft </t>
    </r>
    <r>
      <rPr>
        <rFont val="Arial"/>
        <color rgb="FF000000"/>
        <sz val="10.0"/>
      </rPr>
      <t xml:space="preserve">
</t>
    </r>
  </si>
  <si>
    <t>Edit KPI</t>
  </si>
  <si>
    <t>Verify the user can edit KPI</t>
  </si>
  <si>
    <t>1. Go to KPI
2. Click edit icon at KPI in draft status</t>
  </si>
  <si>
    <r>
      <rPr/>
      <t xml:space="preserve">The edit screen is displayed with info
</t>
    </r>
    <r>
      <rPr>
        <rFont val="Arial"/>
        <i/>
        <color rgb="FF2F5496"/>
        <sz val="10.0"/>
      </rPr>
      <t>- From: 01/01/2018
- To: 31/03/2018
- Name: KPI of the first quarter
- Department: Delivery room
- Objective
1. Criteria 1 
weight : 30%
Target: 1000
Note
1. Criteria 2 
weight : 70%
Target: 1000
Note
Assignee
Marry1234</t>
    </r>
  </si>
  <si>
    <r>
      <rPr/>
      <t xml:space="preserve">3. Edit data
</t>
    </r>
    <r>
      <rPr>
        <rFont val="Arial"/>
        <i/>
        <color rgb="FF2F5496"/>
        <sz val="10.0"/>
      </rPr>
      <t>- From: 01/01/2018
- To: 31/03/2018
- Name: KPI of the first quarter
- Department: Delivery room
- Objective
1. Criteria 1 
weight : 30% --&gt;40%
Target: 1000
Note
1. Criteria 2 
weight : 70% --&gt; 60%
Target: 1000
Note: must be completed
Assignee
Marry1234
5. Click save</t>
    </r>
  </si>
  <si>
    <t xml:space="preserve">KPI list of leader has one record is updated
Period: 01/01/2018 - 31/03/2018
Name: KPI of th first quarter
Department: delivery room
Status: draft 
</t>
  </si>
  <si>
    <t>View KPI detail</t>
  </si>
  <si>
    <t>Verify the user can view KPI detail</t>
  </si>
  <si>
    <t>1. Go to KPI
2. Click view icon at KPI</t>
  </si>
  <si>
    <r>
      <rPr/>
      <t xml:space="preserve">The view detail screen is displayed with info
</t>
    </r>
    <r>
      <rPr>
        <rFont val="Arial"/>
        <i/>
        <color rgb="FF2F5496"/>
        <sz val="10.0"/>
      </rPr>
      <t>- From: 01/01/2018
- To: 31/03/2018
- Name: KPI of the first quarter
- Department: Delivery room
- Objective
1. Criteria 1 
weight : 40%
Target: 1000
Note
1. Criteria 2 
weight : 60%
Target: 1000
Note: must be completed
Assignee
Marry1234</t>
    </r>
  </si>
  <si>
    <t>Verify the user can create and publish KPI at create screen</t>
  </si>
  <si>
    <r>
      <rPr/>
      <t xml:space="preserve">1. Go to KPI
2. Click Create
3. Input data
</t>
    </r>
    <r>
      <rPr>
        <rFont val="Arial"/>
        <i/>
        <color rgb="FF2F5496"/>
        <sz val="10.0"/>
      </rPr>
      <t xml:space="preserve">- From: 01/01/2018
- To: 31/03/2018
- Name: KPI of the first quarter 123
- Department: Delivery room
- Objective
1. Criteria 1 
weight : 30%
Target: 1000
Note
1. Criteria 2 
weight : 70%
Target: 1000
Note
Assignee
Marry
</t>
    </r>
    <r>
      <rPr>
        <rFont val="Arial"/>
        <color rgb="FF000000"/>
        <sz val="10.0"/>
      </rPr>
      <t>4. Click Save and publish</t>
    </r>
  </si>
  <si>
    <r>
      <rPr/>
      <t xml:space="preserve">The list of KPI of leader has added one record
KPI list of leader has one record
</t>
    </r>
    <r>
      <rPr>
        <rFont val="Arial"/>
        <i/>
        <color rgb="FF2F5496"/>
        <sz val="10.0"/>
      </rPr>
      <t xml:space="preserve">Period: 01/01/2018 - 31/03/2018
Name: KPI of th first quarter 123
Department: delivery room
Status: Publish </t>
    </r>
  </si>
  <si>
    <t>View KPI list</t>
  </si>
  <si>
    <t>Login on web with employee 
acc: marry</t>
  </si>
  <si>
    <t>Verify that the user can view KPI list</t>
  </si>
  <si>
    <t xml:space="preserve">1. Go to KPI
</t>
  </si>
  <si>
    <r>
      <rPr/>
      <t xml:space="preserve">The application shows one KPI in publish status
</t>
    </r>
    <r>
      <rPr>
        <rFont val="Arial"/>
        <i/>
        <color rgb="FF2F5496"/>
        <sz val="10.0"/>
      </rPr>
      <t xml:space="preserve">Period: 01/01/2018 - 31/03/2018
Name: KPI of th first quarter
Department: delivery room
Status: Publish 
</t>
    </r>
    <r>
      <rPr>
        <rFont val="Arial"/>
        <sz val="10.0"/>
      </rPr>
      <t>KPI in draft status isn't displayed in KPI list of employee</t>
    </r>
  </si>
  <si>
    <t>Publish KPI</t>
  </si>
  <si>
    <t>Verify that the user can publish KPI from KPI list</t>
  </si>
  <si>
    <t>1. Go to KPI
2. Click publish at KPI in draft status
3. Yes</t>
  </si>
  <si>
    <t>1. the application shows confirm popup
3. The KPI is changed from draft to publish</t>
  </si>
  <si>
    <t>Evaluate KPI</t>
  </si>
  <si>
    <t>Verify that the user can evaluate KPI</t>
  </si>
  <si>
    <t>This case will be description at Evaluation group below</t>
  </si>
  <si>
    <t>Set Compelete KPI</t>
  </si>
  <si>
    <t>Verify that the user can set done KPI</t>
  </si>
  <si>
    <t>1. Go to KPI
2. At KPI list, click mark done at KPI in publish status
3. Click Yes</t>
  </si>
  <si>
    <t>2. The applicatioon shows confirm popup
3. Status of KPI is changed from Publish to Completed</t>
  </si>
  <si>
    <r>
      <rPr/>
      <t xml:space="preserve">The application shows two records:
</t>
    </r>
    <r>
      <rPr>
        <rFont val="Arial"/>
        <i/>
        <color rgb="FF2F5496"/>
        <sz val="10.0"/>
      </rPr>
      <t>Period: 01/01/2018 - 31/03/2018
Name: KPI of th first quarter
Department: delivery room
Status: Completed 
----</t>
    </r>
    <r>
      <rPr>
        <rFont val="Arial"/>
        <color rgb="FF000000"/>
        <sz val="10.0"/>
      </rPr>
      <t xml:space="preserve">
</t>
    </r>
    <r>
      <rPr>
        <rFont val="Arial"/>
        <i/>
        <color rgb="FF2F5496"/>
        <sz val="10.0"/>
      </rPr>
      <t xml:space="preserve">Period: 01/01/2018 - 31/03/2018
Name: KPI of th first quarter 123
Department: delivery room
Status: Publish </t>
    </r>
  </si>
  <si>
    <t>2. Input search condition</t>
  </si>
  <si>
    <t xml:space="preserve">The application only shows records match with search condition </t>
  </si>
  <si>
    <t>9. Run Insurance</t>
  </si>
  <si>
    <t>Social insurance</t>
  </si>
  <si>
    <t>Create month insurance payment</t>
  </si>
  <si>
    <t xml:space="preserve">Verify that the user can create monthly social insurance payment for </t>
  </si>
  <si>
    <r>
      <rPr/>
      <t xml:space="preserve">1. Go to insurance, click social tab
2. Click Create payment
3. Input data
</t>
    </r>
    <r>
      <rPr>
        <rFont val="Arial"/>
        <i/>
        <color rgb="FF2F5496"/>
        <sz val="10.0"/>
      </rPr>
      <t>- Month: 01/2018
- Name: Social Insurance payment in january, 2018
- Payment info: automaticaly calculate by configuration
Employees who have no contract or contract probation  isn't displayed
- Approver: manager 2</t>
    </r>
    <r>
      <rPr>
        <rFont val="Arial"/>
        <color rgb="FF000000"/>
        <sz val="10.0"/>
      </rPr>
      <t xml:space="preserve">
</t>
    </r>
  </si>
  <si>
    <r>
      <rPr/>
      <t>The Payment info is display as a list, include:</t>
    </r>
    <r>
      <rPr>
        <rFont val="Arial"/>
        <i/>
        <color rgb="FF2F5496"/>
        <sz val="10.0"/>
      </rPr>
      <t xml:space="preserve">
- ID: 1235
- Name: Johnson
- Department: Sale room
- Sal: 1500
- Rate of emp: x%
- Employee : r1 ( r=x%*z1*sal)
- Rate of company: y%
- Company: r2 ( r=y%*z1*sal)
- Total: r= r1+r2 
----- 
ID: 1237
- Name: leader1
- Department: Delivery room
- Sal: sal= 1500
- Rate of emp: x%
- Employee : r1 ( r=x%*z1*sal)
- Rate of company: y%
- Company: r2 ( r=y%*z1*sal)
- Total: r= r1+r2 
----
ID: 1238
- Name: manager1
- Department: Delivery room
- Sal: sal= 2200
- Rate of emp: x%
- Employee : r1 ( r=x%*z1*sal)
- Rate of company:B360:H361 y%
- Company: r2 ( r=y%*z1*sal)
- Total: r= r1+r2 
----
ID: 1239
- Name: hr
- Department: Delivery room
- Sal: sal= 1200
- Rate of emp: x%
- Employee : r1 ( r=x%*z1*sal)
- Rate of company: y%
- Company: r2 ( r=y%*z1*sal)
- Total: r= r1+r2 
----
ID: 1240
- Name: trainer
- Department: Delivery room
- Sal: sal= 1200
- Rate of emp: x%
- Employee : r1 ( r=x%*z1*sal)
- Rate of company: y%
- Company: r2 ( r=y%*z1*sal)
- Total: r= r1+r2 
----
ID: 1241
- Name: employee
- Department: Delivery room
- Sal: sal= 700
- Rate of emp: x%
- Employee : r1 ( r=x%*z1*sal)
- Rate of company: y%
- Company: r2 ( r=y%*z1*sal)
- Total: r= r1+r2 
----
ID: 1242
- Name: manager2 
- Department: Delivery room
- Sal: sal= 2300
- Rate of emp: x%
- Employee : r1 ( r=x%*z1*sal)
- Rate of company: y%
- Company: r2 ( r=y%*z1*sal)
- Total: r= r1+r2 
----</t>
    </r>
    <r>
      <rPr>
        <rFont val="Arial"/>
        <color rgb="FF000000"/>
        <sz val="10.0"/>
      </rPr>
      <t xml:space="preserve">
</t>
    </r>
  </si>
  <si>
    <r>
      <rPr/>
      <t xml:space="preserve">Monthly Insurance payment is created in Draft status
</t>
    </r>
    <r>
      <rPr>
        <rFont val="Arial"/>
        <i/>
        <color rgb="FF2F5496"/>
        <sz val="10.0"/>
      </rPr>
      <t>Name: Social insurance payment in january, 2018
Month: 01/2018
Employee: 8
Total Paid: R= sum(r)
Created date: Current date
Status: Draft
Payment status: unpaid</t>
    </r>
  </si>
  <si>
    <t xml:space="preserve">Create and send to manager </t>
  </si>
  <si>
    <t xml:space="preserve">Verify that the user can create and send payment info to manager </t>
  </si>
  <si>
    <r>
      <rPr/>
      <t xml:space="preserve">1. Go to Insurance
2. Click Social tab
3. Input information 
</t>
    </r>
    <r>
      <rPr>
        <rFont val="Arial"/>
        <i/>
        <color rgb="FF2F5496"/>
        <sz val="10.0"/>
      </rPr>
      <t xml:space="preserve">- Month: 01/2018
- Name: Social Insurance payment in February 2018
- Payment info: automaticaly calculate by configuration
Employees who have no contract or contract probation  isn't displayed
</t>
    </r>
    <r>
      <rPr>
        <rFont val="Arial"/>
        <sz val="10.0"/>
      </rPr>
      <t>4. Click save and send</t>
    </r>
  </si>
  <si>
    <r>
      <rPr/>
      <t xml:space="preserve">Monthly Insurance payment is creates in Draft status
</t>
    </r>
    <r>
      <rPr>
        <rFont val="Arial"/>
        <i/>
        <color rgb="FF2F5496"/>
        <sz val="10.0"/>
      </rPr>
      <t>Name: Social insurance payment in February, 2018
Month: 01/2018
Employee: 8
Total Paid: R= sum(r)
Created date: Current date
Status: Pending
Payment status: unpaid</t>
    </r>
  </si>
  <si>
    <r>
      <rPr/>
      <t xml:space="preserve">1. Go to Insurance
2. Click Social tab
3. Input information 
</t>
    </r>
    <r>
      <rPr>
        <rFont val="Arial"/>
        <i/>
        <color rgb="FF2F5496"/>
        <sz val="10.0"/>
      </rPr>
      <t xml:space="preserve">- Month: 02/2018
- Name: Social Insurance payment in February 2018
- Payment info: automaticaly calculate by configuration
Employees who have no contract or contract probation  isn't displayed
- Approver: manager 2
</t>
    </r>
    <r>
      <rPr>
        <rFont val="Arial"/>
        <sz val="10.0"/>
      </rPr>
      <t>4. Click save and send</t>
    </r>
  </si>
  <si>
    <r>
      <rPr/>
      <t xml:space="preserve">Monthly Insurance payment is created in Draft status
</t>
    </r>
    <r>
      <rPr>
        <rFont val="Arial"/>
        <i/>
        <color rgb="FF2F5496"/>
        <sz val="10.0"/>
      </rPr>
      <t>Name: Heath insurance payment in February, 2018
Month: 02/2018
Employee: 8
Total Paid: R= sum(r)
Created date: Current date
Status: Pending
Payment status: unpaid</t>
    </r>
  </si>
  <si>
    <t>Send the insurance payment from list</t>
  </si>
  <si>
    <t xml:space="preserve">Verify that user can  send monthly payment info </t>
  </si>
  <si>
    <t>1. Go to insurance
2. In the list, click send at record in Draft status (01/2018)</t>
  </si>
  <si>
    <t>3. Click NO</t>
  </si>
  <si>
    <t>The application The confirm popup is closed 
The status of record isnt changed</t>
  </si>
  <si>
    <t>Close popup
IN the list of HR, the status of record is change from draft to pending and payment info is sent to approver</t>
  </si>
  <si>
    <t xml:space="preserve">View the list of month insurance payment </t>
  </si>
  <si>
    <t>Login on web with manger 
acc: manager 1</t>
  </si>
  <si>
    <t>Verify that the user can view the list of month payment is sent from HR</t>
  </si>
  <si>
    <t>1. Go to Insurance</t>
  </si>
  <si>
    <t>The application shows message ' No record"</t>
  </si>
  <si>
    <t>Login on web with manger 
acc: manager2</t>
  </si>
  <si>
    <r>
      <rPr/>
      <t xml:space="preserve">The application shows two records:
</t>
    </r>
    <r>
      <rPr>
        <rFont val="Arial"/>
        <i/>
        <color rgb="FF2F5496"/>
        <sz val="10.0"/>
      </rPr>
      <t>Name: Social insurance payment in january, 2018
Month: 01/2018
Employee: 8
Total Paid: R= sum(r)
Created date: Created date
Status: Pending
Payment status: unpaid
----
Name: Social insurance payment in February, 2018
Month: 02/2018
Employee: 8
Total Paid: R= sum(r)
Created date: Created date
Status: Pending
Payment status: unpaid
The list is ordere</t>
    </r>
    <r>
      <rPr>
        <rFont val="Arial"/>
        <color rgb="FF000000"/>
        <sz val="10.0"/>
      </rPr>
      <t xml:space="preserve">d by sendDate asc
</t>
    </r>
  </si>
  <si>
    <t>Vew detail</t>
  </si>
  <si>
    <t>Verify that the user can view detail of month payment</t>
  </si>
  <si>
    <t xml:space="preserve">1. Go to Insurance
2. Click social tab
3. Click view detail (01/2018)
</t>
  </si>
  <si>
    <r>
      <rPr/>
      <t xml:space="preserve">The application shows detail info
</t>
    </r>
    <r>
      <rPr>
        <rFont val="Arial"/>
        <i/>
        <color rgb="FF2F5496"/>
        <sz val="10.0"/>
      </rPr>
      <t>Name: Social insurance payment in january, 2018
Month: 01/2018
Total Paid: R</t>
    </r>
    <r>
      <rPr>
        <rFont val="Arial"/>
        <color rgb="FF000000"/>
        <sz val="10.0"/>
      </rPr>
      <t xml:space="preserve">
Payment info: 
</t>
    </r>
    <r>
      <rPr>
        <rFont val="Arial"/>
        <i/>
        <color rgb="FF2F5496"/>
        <sz val="10.0"/>
      </rPr>
      <t>- ID: 1235
- Name: Johnson
- Department: Sale room
- Sal: 1500
- Rate of emp: x%
- Employee : r1 ( r=x%*z1*sal)
- Rate of company: y%
- Company: r2 ( r=y%*z1*sal)
- Total: r= r1+r2 
----- 
ID: 1237
- Name: leader1
- Department: Delivery room
- Sal: sal= 1500
- Rate of emp: x%
- Employee : r1 ( r=x%*z1*sal)
- Rate of company: y%
- Company: r2 ( r=y%*z1*sal)
- Total: r= r1+r2 
----
ID: 1238
- Name: manager1
- Department: Delivery room
- Sal: sal= 2200
- Rate of emp: x%
- Employee : r1 ( r=x%*z1*sal)
- Rate of company:B360:H361 y%
- Company: r2 ( r=y%*z1*sal)
- Total: r= r1+r2 
----
ID: 1239
- Name: hr
- Department: Delivery room
- Sal: sal= 1200
- Rate of emp: x%
- Employee : r1 ( r=x%*z1*sal)
- Rate of company: y%
- Company: r2 ( r=y%*z1*sal)
- Total: r= r1+r2 
----
ID: 1240
- Name: trainer
- Department: Delivery room
- Sal: sal= 1200
- Rate of emp: x%
- Employee : r1 ( r=x%*z1*sal)
- Rate of company: y%
- Company: r2 ( r=y%*z1*sal)
- Total: r= r1+r2 
----
ID: 1241
- Name: employee
- Department: Delivery room
- Sal: sal= 700
- Rate of emp: x%
- Employee : r1 ( r=x%*z1*sal)
- Rate of company: y%
- Company: r2 ( r=y%*z1*sal)
- Total: r= r1+r2 
----
ID: 1242
- Name: manager2 
- Department: Delivery room
- Sal: sal= 2300
- Rate of emp: x%
- Employee : r1 ( r=x%*z1*sal)
- Rate of company: y%
- Company: r2 ( r=y%*z1*sal)
- Total: r= r1+r2 
----</t>
    </r>
    <r>
      <rPr>
        <rFont val="Arial"/>
        <color rgb="FF000000"/>
        <sz val="10.0"/>
      </rPr>
      <t xml:space="preserve">
</t>
    </r>
  </si>
  <si>
    <t xml:space="preserve">Approved month insurance payment </t>
  </si>
  <si>
    <t>Verify that the user can approved the month insurance payment</t>
  </si>
  <si>
    <t>1. Go to insurance
2. Click approve at first reacord (01/2018)</t>
  </si>
  <si>
    <t>Close popup
IN the list of HR and manager , the status of record is change from pending to approved</t>
  </si>
  <si>
    <t xml:space="preserve">Reject the month insurance payment </t>
  </si>
  <si>
    <t>Verify that the user can Reject the month insurance payment</t>
  </si>
  <si>
    <r>
      <rPr/>
      <t xml:space="preserve">1. Go to insurance
2. Click reject  at first reacord (02/2018)
3,. Input reason
</t>
    </r>
    <r>
      <rPr>
        <rFont val="Arial"/>
        <i/>
        <color rgb="FF2F5496"/>
        <sz val="10.0"/>
      </rPr>
      <t xml:space="preserve">- Reason reject </t>
    </r>
  </si>
  <si>
    <t>The application The confirm popup is closed 
The status of record isn't changed</t>
  </si>
  <si>
    <t>Close popup
IN the list of HR and manager , the status of record is change from pending to Rejeced and displays reason in column comment</t>
  </si>
  <si>
    <t>View list of month insurance payment</t>
  </si>
  <si>
    <t>Login on web with HR role
acc: hr</t>
  </si>
  <si>
    <t xml:space="preserve">Verify that the user can view the list of month payment is Processed by Manager </t>
  </si>
  <si>
    <r>
      <rPr/>
      <t xml:space="preserve">The application shows two records:
</t>
    </r>
    <r>
      <rPr>
        <rFont val="Arial"/>
        <i/>
        <color rgb="FF2F5496"/>
        <sz val="10.0"/>
      </rPr>
      <t xml:space="preserve">Name: Social insurance payment in january, 2018
Month: 01/2018
Employee: 8
Total Paid: R= sum(r)
Created date: Created date
Status: Approved
Payment status: unpaid
----
Name: Social insurance payment in February, 2018
Month: 02/2018
Employee: 8
Total Paid: R= sum(r)
Created date: Created date
Status: Rejected 
Payment status: unpaid
Comment: Reject reason
</t>
    </r>
    <r>
      <rPr>
        <rFont val="Arial"/>
        <sz val="10.0"/>
      </rPr>
      <t>The list is ordered by create Date desc</t>
    </r>
    <r>
      <rPr>
        <rFont val="Arial"/>
        <color rgb="FF000000"/>
        <sz val="10.0"/>
      </rPr>
      <t xml:space="preserve">
</t>
    </r>
  </si>
  <si>
    <t xml:space="preserve">Mark payment for month insurance payment </t>
  </si>
  <si>
    <t>Verify that the user can mark payment the month insurance payment</t>
  </si>
  <si>
    <t>1. Go to insurance
2. Click Unpaid list</t>
  </si>
  <si>
    <r>
      <rPr/>
      <t xml:space="preserve">The application shows two records:
</t>
    </r>
    <r>
      <rPr>
        <rFont val="Arial"/>
        <i/>
        <color rgb="FF2F5496"/>
        <sz val="10.0"/>
      </rPr>
      <t>Name: Social insurance payment in january, 2018
Month: 01/2018
Employee: 8
Total Paid: R= sum(r)
Created date: Created date
Status payment: Unpaid</t>
    </r>
    <r>
      <rPr>
        <rFont val="Arial"/>
        <color rgb="FF000000"/>
        <sz val="10.0"/>
      </rPr>
      <t xml:space="preserve">
----
</t>
    </r>
    <r>
      <rPr>
        <rFont val="Arial"/>
        <i/>
        <color rgb="FF2F5496"/>
        <sz val="10.0"/>
      </rPr>
      <t xml:space="preserve">Name: Social insurance payment in February, 2018
Month: 02/2018
Employee: 8
Total Paid: R= sum(r)
Created date: Created date
Status payment: Unpaid
</t>
    </r>
    <r>
      <rPr>
        <rFont val="Arial"/>
        <color rgb="FF000000"/>
        <sz val="10.0"/>
      </rPr>
      <t>only shows records is approved and unpaid</t>
    </r>
  </si>
  <si>
    <t>3. Click mark payment at record 1 (1/2018)</t>
  </si>
  <si>
    <t>The application show popup confirm</t>
  </si>
  <si>
    <t>4. Click No</t>
  </si>
  <si>
    <t>The application The confirm popup is closed 
The payment status of record isnt changed</t>
  </si>
  <si>
    <t>Close popup
The status of record is changed from unpaid to paid, as time as a record disappear from unpaid list</t>
  </si>
  <si>
    <t>Search the month insurance payment</t>
  </si>
  <si>
    <t>Verify that the user can search the month insurance payment</t>
  </si>
  <si>
    <r>
      <rPr/>
      <t xml:space="preserve">1. Go to Insurance
2. Input search condition
</t>
    </r>
    <r>
      <rPr>
        <rFont val="Arial"/>
        <i/>
        <color rgb="FF2F5496"/>
        <sz val="10.0"/>
      </rPr>
      <t>Payment Status : Paid</t>
    </r>
    <r>
      <rPr>
        <rFont val="Arial"/>
        <color rgb="FF000000"/>
        <sz val="10.0"/>
      </rPr>
      <t xml:space="preserve">
</t>
    </r>
  </si>
  <si>
    <r>
      <rPr/>
      <t xml:space="preserve">The application shows one record match with search condition:
</t>
    </r>
    <r>
      <rPr>
        <rFont val="Arial"/>
        <i/>
        <color rgb="FF2F5496"/>
        <sz val="10.0"/>
      </rPr>
      <t xml:space="preserve">Name: Social insurance payment in january, 2018
Month: 01/2018
Employee: 8
Total Paid: R= sum(r)
Created date: Created date
Status: Approved
Payment status: paid
</t>
    </r>
    <r>
      <rPr>
        <rFont val="Arial"/>
        <sz val="10.0"/>
      </rPr>
      <t>The list is ordered by create Date desc</t>
    </r>
    <r>
      <rPr>
        <rFont val="Arial"/>
        <color rgb="FF000000"/>
        <sz val="10.0"/>
      </rPr>
      <t xml:space="preserve">
</t>
    </r>
  </si>
  <si>
    <t>National heath insurance</t>
  </si>
  <si>
    <t xml:space="preserve">Verify that the user can create monthly national heath  insurance payment for </t>
  </si>
  <si>
    <r>
      <rPr/>
      <t xml:space="preserve">1. Go to insurance, click National heath  tab
2. Click Create payment
3. Input data
</t>
    </r>
    <r>
      <rPr>
        <rFont val="Arial"/>
        <i/>
        <color rgb="FF2F5496"/>
        <sz val="10.0"/>
      </rPr>
      <t>- Month: 01/2018
- Name: national heath  Insurance payment in january, 2018
- Payment info: automaticaly calculate by configuration
Employees who have no contract or contract probation  isn't displayed
- Approver: manager 2</t>
    </r>
    <r>
      <rPr>
        <rFont val="Arial"/>
        <color rgb="FF000000"/>
        <sz val="10.0"/>
      </rPr>
      <t xml:space="preserve">
</t>
    </r>
  </si>
  <si>
    <r>
      <rPr/>
      <t>The Payment info is display as a list, include:</t>
    </r>
    <r>
      <rPr>
        <rFont val="Arial"/>
        <i/>
        <color rgb="FF2F5496"/>
        <sz val="10.0"/>
      </rPr>
      <t xml:space="preserve">
- ID: 1235
- Name: Johnson
- Department: Sale room
- Sal: 1500
- Rate of emp: x%
- Employee : r1 ( r=x%*z1*sal)
- Rate of company: y%
- Company: r2 ( r=y%*z1*sal)
- Total: r= r1+r2 
----- 
ID: 1237
- Name: leader1
- Department: Delivery room
- Sal: sal= 1500
- Rate of emp: a%
- Employee : r1 ( r=a%*c*sal)
- Rate of company: b%
- Company: r2 ( r=b%*c*sal)
- Total: r= r1+r2 
----
ID: 1238
- Name: manager1
- Department: Delivery room
- Sal: sal= 2200
- Rate of emp: a%
- Employee : r1 ( r=a%*c*sal)
- Rate of company: b%
- Company: r2 ( r=b%*c*sal)
- Total: r= r1+r2 
----
ID: 1239
- Name: hr
- Department: Delivery room
- Sal: sal= 1200
- Rate of emp: a%
- Employee : r1 ( r=a%*c*sal)
- Rate of company: b%
- Company: r2 ( r=b%*c*sal)
- Total: r= r1+r2 
----
ID: 1240
- Name: trainer
- Department: Delivery room
- Sal: sal= 1200
- Rate of emp: a%
- Employee : r1 ( r=a%*c*sal)
- Rate of company: b%
- Company: r2 ( r=b%*c*sal)
- Total: r= r1+r2 
----
ID: 1241
- Name: employee
- Department: Delivery room
- Sal: sal= 700
- Rate of emp: a%
- Employee : r1 ( r=a%*c*sal)
- Rate of company: b%
- Company: r2 ( r=b%*c*sal)
- Total: r= r1+r2 
----
ID: 1242
- Name: manager2 
- Department: Delivery room
- Sal: sal= 2300
- Rate of emp: a%
- Employee : r1 ( r=a%*c*sal)
- Rate of company: b%
- Company: r2 ( r=b%*c*sal)
- Total: r= r1+r2 
----</t>
    </r>
    <r>
      <rPr>
        <rFont val="Arial"/>
        <color rgb="FF000000"/>
        <sz val="10.0"/>
      </rPr>
      <t xml:space="preserve">
</t>
    </r>
  </si>
  <si>
    <r>
      <rPr/>
      <t xml:space="preserve">Monthly Insurance payment is create in Draft status
</t>
    </r>
    <r>
      <rPr>
        <rFont val="Arial"/>
        <i/>
        <color rgb="FF2F5496"/>
        <sz val="10.0"/>
      </rPr>
      <t>Name: national heath  insurance payment in january, 2018
Month: 01/2018
Employee: 8
Total Paid: R= sum(r)
Created date: Current date
Status: Draft
Status payment: Unpaid</t>
    </r>
  </si>
  <si>
    <r>
      <rPr/>
      <t xml:space="preserve">1. Go to Insurance
2. Click Nation tab
3. Input information 
</t>
    </r>
    <r>
      <rPr>
        <rFont val="Arial"/>
        <i/>
        <color rgb="FF2F5496"/>
        <sz val="10.0"/>
      </rPr>
      <t>- Month: 01/2018
- Name: national heath  Insurance payment in February 2018
- Payment info: automaticaly calculate by configuration
Employees who have no contract or contract probation  isn't displayed</t>
    </r>
    <r>
      <rPr>
        <rFont val="Arial"/>
        <color rgb="FF000000"/>
        <sz val="10.0"/>
      </rPr>
      <t xml:space="preserve">
4. Click save and send</t>
    </r>
  </si>
  <si>
    <r>
      <rPr/>
      <t xml:space="preserve">Monthly Insurance payment is created in Draft status
</t>
    </r>
    <r>
      <rPr>
        <rFont val="Arial"/>
        <i/>
        <color rgb="FF2F5496"/>
        <sz val="10.0"/>
      </rPr>
      <t>Name: national heath  insurance payment in February, 2018
Month: 01/2018
Employee: 8
Total Paid: R= sum(r)
Created date: Current date
Status: Pending
Status payment: Unpaid</t>
    </r>
  </si>
  <si>
    <r>
      <rPr/>
      <t xml:space="preserve">1. Go to Insurance
2. Click Nation tab
3. Input information 
</t>
    </r>
    <r>
      <rPr>
        <rFont val="Arial"/>
        <i/>
        <color rgb="FF2F5496"/>
        <sz val="10.0"/>
      </rPr>
      <t>- Month: 02/2018
- Name: national heath  Insurance payment in February 2018
- Payment info: automaticaly calculate by configuration
Employees who have no contract or contract probation  isn't displayed
- Approver: manager 2</t>
    </r>
    <r>
      <rPr>
        <rFont val="Arial"/>
        <color rgb="FF000000"/>
        <sz val="10.0"/>
      </rPr>
      <t xml:space="preserve">
4. Click save and send</t>
    </r>
  </si>
  <si>
    <r>
      <rPr/>
      <t xml:space="preserve">Monthly Insurance payment is create in Draft status
</t>
    </r>
    <r>
      <rPr>
        <rFont val="Arial"/>
        <i/>
        <color rgb="FF2F5496"/>
        <sz val="10.0"/>
      </rPr>
      <t>Name: Heath insurance payment in February, 2018
Month: 02/2018
Employee: 8
Total Paid: R= sum(r)
Created date: Current date
Status: Pending</t>
    </r>
  </si>
  <si>
    <r>
      <rPr/>
      <t xml:space="preserve">1. Go to insurance
2. In the list, click send at record in Draft status </t>
    </r>
    <r>
      <rPr>
        <rFont val="Arial"/>
        <i/>
        <color rgb="FF2F5496"/>
        <sz val="10.0"/>
      </rPr>
      <t>(01/2018)</t>
    </r>
  </si>
  <si>
    <r>
      <rPr/>
      <t xml:space="preserve">The application shows two records:
Name: national heath  insurance payment in january, 2018
</t>
    </r>
    <r>
      <rPr>
        <rFont val="Arial"/>
        <i/>
        <color rgb="FF2F5496"/>
        <sz val="10.0"/>
      </rPr>
      <t>Month: 01/2018
Employee: 8
Total Paid: R= sum(r)
Created date: Current date
Status: Pending
Status payment: Unpaid
----
Name: national heath  insurance payment in February, 2018
Month: 02/2018
Employee: 8
Total Paid: R= sum(r)
Created date: Current date
Status: Pending
Status payment: Unpaid</t>
    </r>
    <r>
      <rPr>
        <rFont val="Arial"/>
        <color rgb="FF000000"/>
        <sz val="10.0"/>
      </rPr>
      <t xml:space="preserve">
The list is ordered by sendDate asc
</t>
    </r>
  </si>
  <si>
    <r>
      <rPr/>
      <t xml:space="preserve">1. Go to Insurance
2. Click National heath  tab
3. Click view detail </t>
    </r>
    <r>
      <rPr>
        <rFont val="Arial"/>
        <i/>
        <color rgb="FF2F5496"/>
        <sz val="10.0"/>
      </rPr>
      <t>(01/2018)</t>
    </r>
    <r>
      <rPr>
        <rFont val="Arial"/>
        <color rgb="FF000000"/>
        <sz val="10.0"/>
      </rPr>
      <t xml:space="preserve">
</t>
    </r>
  </si>
  <si>
    <r>
      <rPr/>
      <t xml:space="preserve">The application shows detail info
</t>
    </r>
    <r>
      <rPr>
        <rFont val="Arial"/>
        <i/>
        <color rgb="FF2F5496"/>
        <sz val="10.0"/>
      </rPr>
      <t>Name: National heath insurance payment in january, 2018
Month: 01/2018
Total Paid: R</t>
    </r>
    <r>
      <rPr>
        <rFont val="Arial"/>
        <color rgb="FF000000"/>
        <sz val="10.0"/>
      </rPr>
      <t xml:space="preserve">
Payment info: 
</t>
    </r>
    <r>
      <rPr>
        <rFont val="Arial"/>
        <i/>
        <color rgb="FF2F5496"/>
        <sz val="10.0"/>
      </rPr>
      <t>ID: 1237
- Name: leader1
- Department: Delivery room
- Sal: sal= 1500
- Rate of emp: a%
- Employee : r1 ( r=a%*c*sal)
- Rate of company: b%
- Company: r2 ( r=b%*c*sal)
- Total: r= r1+r2 
----
ID: 1238
- Name: manager1
- Department: Delivery room
- Sal: sal= 2200
- Rate of emp: a%
- Employee : r1 ( r=a%*c*sal)
- Rate of company: b%
- Company: r2 ( r=b%*c*sal)
- Total: r= r1+r2 
----
ID: 1239
- Name: hr
- Department: Delivery room
- Sal: sal= 1200
- Rate of emp: a%
- Employee : r1 ( r=a%*c*sal)
- Rate of company: b%
- Company: r2 ( r=b%*c*sal)
- Total: r= r1+r2 
----
ID: 1240
- Name: trainer
- Department: Delivery room
- Sal: sal= 1200
- Rate of emp: a%
- Employee : r1 ( r=a%*c*sal)
- Rate of company: b%
- Company: r2 ( r=b%*c*sal)
- Total: r= r1+r2 
----
ID: 1241
- Name: employee
- Department: Delivery room
- Sal: sal= 700
- Rate of emp: a%
- Employee : r1 ( r=a%*c*sal)
- Rate of company: b%
- Company: r2 ( r=b%*c*sal)
- Total: r= r1+r2 
----
ID: 1242
- Name: manager2 
- Department: Delivery room
- Sal: sal= 2300
- Rate of emp: a%
- Employee : r1 ( r=a%*c*sal)
- Rate of company: b%
- Company: r2 ( r=b%*c*sal)
- Total: r= r1+r2 
----
ID: 1241
- Name: employee
- Department: Delivery room
- Sal: sal= 700
- Rate of emp: x%
- Employee : r1 ( r=x%*z1*sal)
- Rate of company: y%
- Company: r2 ( r=y%*z1*sal)
- Total: r= r1+r2 
----
ID: 1242
- Name: manager2 
- Department: Delivery room
- Sal: sal= 2300
- Rate of emp: x%
- Employee : r1 ( r=x%*z1*sal)
- Rate of company: y%
- Company: r2 ( r=y%*z1*sal)
- Total: r= r1+r2 
----</t>
    </r>
    <r>
      <rPr>
        <rFont val="Arial"/>
        <color rgb="FF000000"/>
        <sz val="10.0"/>
      </rPr>
      <t xml:space="preserve">
</t>
    </r>
  </si>
  <si>
    <t>Verify that the user can reject  the month insurance payment</t>
  </si>
  <si>
    <r>
      <rPr/>
      <t xml:space="preserve">1. Go to insurance
2. Click reject  at first reacord (02/2018)
3,. Input reason
</t>
    </r>
    <r>
      <rPr>
        <rFont val="Arial"/>
        <i/>
        <color rgb="FF2F5496"/>
        <sz val="10.0"/>
      </rPr>
      <t xml:space="preserve">- Reason reject </t>
    </r>
  </si>
  <si>
    <r>
      <rPr/>
      <t xml:space="preserve">The application shows two records:
</t>
    </r>
    <r>
      <rPr>
        <rFont val="Arial"/>
        <i/>
        <color rgb="FF2F5496"/>
        <sz val="10.0"/>
      </rPr>
      <t>Name: national heath  insurance payment in january, 2018
Month: 01/2018
Employee: 8
Total Paid: R= sum(r)
Created date: Current date
Status: Approved
Status payment: Unpaid
----
Name: national heath  insurance payment in February, 2018
Month: 02/2018
Employee: 8
Total Paid: R= sum(r)
Created date: Current date
Status: Rejected 
Status payment: Unpaid
Comment: Reject reason</t>
    </r>
    <r>
      <rPr>
        <rFont val="Arial"/>
        <color rgb="FF000000"/>
        <sz val="10.0"/>
      </rPr>
      <t xml:space="preserve">
The list is ordered by create Date desc
</t>
    </r>
  </si>
  <si>
    <r>
      <rPr/>
      <t xml:space="preserve">The application shows two records:
</t>
    </r>
    <r>
      <rPr>
        <rFont val="Arial"/>
        <i/>
        <color rgb="FF2F5496"/>
        <sz val="10.0"/>
      </rPr>
      <t>Name: Social insurance payment in january, 2018
Month: 01/2018
Employee: 8
Total Paid: R= sum(r)
Created date: Created date
Status payment: Unpaid</t>
    </r>
    <r>
      <rPr>
        <rFont val="Arial"/>
        <color rgb="FF000000"/>
        <sz val="10.0"/>
      </rPr>
      <t xml:space="preserve">
----
</t>
    </r>
    <r>
      <rPr>
        <rFont val="Arial"/>
        <i/>
        <color rgb="FF2F5496"/>
        <sz val="10.0"/>
      </rPr>
      <t xml:space="preserve">Name: Social insurance payment in February, 2018
Month: 02/2018
Employee: 8
Total Paid: R= sum(r)
Created date: Created date
Status payment: Unpaid
</t>
    </r>
    <r>
      <rPr>
        <rFont val="Arial"/>
        <color rgb="FF000000"/>
        <sz val="10.0"/>
      </rPr>
      <t>only shows records is approved and unpaid</t>
    </r>
  </si>
  <si>
    <r>
      <rPr/>
      <t xml:space="preserve">1. Go to Insurance
2. Input search condition
</t>
    </r>
    <r>
      <rPr>
        <rFont val="Arial"/>
        <i/>
        <color rgb="FF2F5496"/>
        <sz val="10.0"/>
      </rPr>
      <t>Payment Status : Paid</t>
    </r>
    <r>
      <rPr>
        <rFont val="Arial"/>
        <color rgb="FF000000"/>
        <sz val="10.0"/>
      </rPr>
      <t xml:space="preserve">
</t>
    </r>
  </si>
  <si>
    <r>
      <rPr/>
      <t xml:space="preserve">The application shows one record match with search condition:
</t>
    </r>
    <r>
      <rPr>
        <rFont val="Arial"/>
        <i/>
        <color rgb="FF2F5496"/>
        <sz val="10.0"/>
      </rPr>
      <t xml:space="preserve">Name: Social insurance payment in january, 2018
Month: 01/2018
Employee: 8
Total Paid: R= sum(r)
Created date: Created date
Status: Approved
Payment status: paid
</t>
    </r>
    <r>
      <rPr>
        <rFont val="Arial"/>
        <sz val="10.0"/>
      </rPr>
      <t>The list is ordered by create Date desc</t>
    </r>
    <r>
      <rPr>
        <rFont val="Arial"/>
        <color rgb="FF000000"/>
        <sz val="10.0"/>
      </rPr>
      <t xml:space="preserve">
</t>
    </r>
  </si>
  <si>
    <t>10. Run Payroll</t>
  </si>
  <si>
    <t>Assuming that, 
The Attendance of employees below:
Name: Marry
ON ( Days): 1
OT( hours): 1.5
ONG (hours): 4
OW(hours): 8
OH (hours): 8
OFF (days): 0.5
Vacation: 0
---
Johnson
ON ( Days): 1
OT( hours): 0
ONG (hours): 0
OW(hours): 0
OH (hours): 0
OFF (days): 2 
Vacation: 1
other employee has not attendance</t>
  </si>
  <si>
    <t>Create month payroll</t>
  </si>
  <si>
    <t xml:space="preserve">Verify that the user can create month payroll payment for </t>
  </si>
  <si>
    <r>
      <rPr/>
      <t xml:space="preserve">1. Go to Payroll
2. Click Create
3. Input data
</t>
    </r>
    <r>
      <rPr>
        <rFont val="Arial"/>
        <i/>
        <color rgb="FF2F5496"/>
        <sz val="10.0"/>
      </rPr>
      <t>- Month: 01/2018
- Name: payroll in january, 2018
- Payroll info: automaticaly calculate by configuration
Employees who have no contract will not be  displayed
- Approver: manager 2</t>
    </r>
    <r>
      <rPr>
        <rFont val="Arial"/>
        <color rgb="FF000000"/>
        <sz val="10.0"/>
      </rPr>
      <t xml:space="preserve">
</t>
    </r>
  </si>
  <si>
    <r>
      <rPr/>
      <t xml:space="preserve">The Payment info is display as a list, include:
</t>
    </r>
    <r>
      <rPr>
        <rFont val="Arial"/>
        <i/>
        <color rgb="FF2F5496"/>
        <sz val="10.0"/>
      </rPr>
      <t>- ID: 1234
- Name: Marry
- Gross sal ($): 900
- Days of work (days): 1
- Standard days (days): 22
- Vacation (days): 0
- Unpaid (days): 0.5
- Basic sal ($): 900/22 - (900/22*0.5)
- OT: x= ot+ong+ow+oh
+ OT: 1.5*(900/22/8)*a%
+ OW: 8*(900/22/8)*b%
+ ONG: 4*(900/22/8)*c%
+ OH: 8*(900/22/8)*d%
- Bonus: 4000 $ (reward)
- Allowance: A
+ Name: Lunch Allowance
amount: 0
---
Name: Car Allowance 1
amount: 0
---
Name: Car Allowance 2
amount: 0
---
Name: Cost of Living Allowance 1
amount: 0
-- 
Phone allowance
amount: 0
- Deduction:  D
Name: union fund
percent : 1%sal
---
union fund 2
amount: 10$
---
Name: training fee
amount: 10$
+ national heath insurance : r
+ social insurance: r
Discipline: 30$
 salary received= Basic sal+ Bonus+ Allowance- Deduction - Discipline</t>
    </r>
    <r>
      <rPr>
        <rFont val="Arial"/>
        <color rgb="FF000000"/>
        <sz val="10.0"/>
      </rPr>
      <t xml:space="preserve">
----</t>
    </r>
    <r>
      <rPr>
        <rFont val="Arial"/>
        <i/>
        <color rgb="FF2F5496"/>
        <sz val="10.0"/>
      </rPr>
      <t xml:space="preserve">
- ID: 1235
- Name: Johnson
- Gross sal ($): 1500
- Days of work (days): 1
- Standard days (days): 22
- Vacation (days): 1
- Unpaid (days): 0
- Basic sal ($): (1500/22)*2
- OT: x= ot+ong+ow+oh
+ OT: 0
+ OW: 0
+ ONG: 0
+ OH: 0
- Bonus: 0 $ 
- Allowance: A
+ Name: Lunch Allowance
amount: 400$
---
Name: Car Allowance 1
amount: 200$
---
Name: Car Allowance 2
amount: 400$
---
Name: Cost of Living Allowance 1
amount: 200$
-- 
Phone allowance
amount: 100$
- Deduction:  D
Name: union fund
percent : 1%sal
---
union fund 2
amount: 10$
---
Name: training fee
amount: 10$
+ national heath insurance : r
+ social insurance: r
Discipline: 10$
 salary received= Basic sal+ Bonus+ Allowance- Deduction - Discipline</t>
    </r>
  </si>
  <si>
    <r>
      <rPr/>
      <t xml:space="preserve">month payroll is create in Draft status
</t>
    </r>
    <r>
      <rPr>
        <rFont val="Arial"/>
        <i/>
        <color rgb="FF2F5496"/>
        <sz val="10.0"/>
      </rPr>
      <t>Name: payroll payment in january, 2018
Month: 01/2018
Employee: 8
Total Paid: X (sum of all emp)
Created date: Current date
Status: Draft
Status payment: Unpaid</t>
    </r>
  </si>
  <si>
    <r>
      <rPr/>
      <t xml:space="preserve">1. Go to Payroll 
2. Click Create
3. Input information 
</t>
    </r>
    <r>
      <rPr>
        <rFont val="Arial"/>
        <i/>
        <color rgb="FF2F5496"/>
        <sz val="10.0"/>
      </rPr>
      <t>- Month: 01/2018
- Name: payroll payment in February 2018
- Payment info: automaticaly calculate by configuration
Employees who have no contract will not be  displayed</t>
    </r>
    <r>
      <rPr>
        <rFont val="Arial"/>
        <color rgb="FF000000"/>
        <sz val="10.0"/>
      </rPr>
      <t xml:space="preserve">
4. Click save and send</t>
    </r>
  </si>
  <si>
    <r>
      <rPr/>
      <t xml:space="preserve">month payroll is created in Draft status
</t>
    </r>
    <r>
      <rPr>
        <rFont val="Arial"/>
        <i/>
        <color rgb="FF2F5496"/>
        <sz val="10.0"/>
      </rPr>
      <t>Name: payroll payment in February, 2018
Month: 01/2018
Employee: 8
Total Paid: X (sum of all emp)
Created date: Current date
Status: Pending
Status payment: Unpaid</t>
    </r>
  </si>
  <si>
    <t xml:space="preserve">Verify that the user can create and send payroll payment info to manager </t>
  </si>
  <si>
    <r>
      <rPr/>
      <t xml:space="preserve">1. Go to Insurance
2. Click Nation tab
3. Input information 
</t>
    </r>
    <r>
      <rPr>
        <rFont val="Arial"/>
        <i/>
        <color rgb="FF2F5496"/>
        <sz val="10.0"/>
      </rPr>
      <t>- Month: 02/2018
- Name: payroll payment in February 2018
- Payment info: automaticaly calculate by configuration
Employees who have no contract will not be  displayed
- Approver: manager 2</t>
    </r>
    <r>
      <rPr>
        <rFont val="Arial"/>
        <color rgb="FF000000"/>
        <sz val="10.0"/>
      </rPr>
      <t xml:space="preserve">
4. Click save and send</t>
    </r>
  </si>
  <si>
    <r>
      <rPr/>
      <t xml:space="preserve">month payroll is create in Draft status
</t>
    </r>
    <r>
      <rPr>
        <rFont val="Arial"/>
        <i/>
        <color rgb="FF2F5496"/>
        <sz val="10.0"/>
      </rPr>
      <t>Name: payroll payment in February, 2018
Month: 02/2018
Employee: 8
Total Paid: X (sum of all emp)
Created date: Current date
Status: Pending</t>
    </r>
  </si>
  <si>
    <t xml:space="preserve">Verify that user can  send month payroll payment info </t>
  </si>
  <si>
    <t>1. Go to payroll
2. In the list, click send at record in Draft status (01/2018)</t>
  </si>
  <si>
    <t xml:space="preserve">View the list of month payroll </t>
  </si>
  <si>
    <t>1. Go to payroll</t>
  </si>
  <si>
    <r>
      <rPr/>
      <t xml:space="preserve">The application shows two records:
</t>
    </r>
    <r>
      <rPr>
        <rFont val="Arial"/>
        <i/>
        <color rgb="FF2F5496"/>
        <sz val="10.0"/>
      </rPr>
      <t>Name: payroll payment in january, 2018
Month: 01/2018
Employee: 8
Total Paid: X (sum of all emp)
Created date: Current date
Status: Pending
Status payment: Unpaid</t>
    </r>
    <r>
      <rPr>
        <rFont val="Arial"/>
        <color rgb="FF000000"/>
        <sz val="10.0"/>
      </rPr>
      <t xml:space="preserve">
----
</t>
    </r>
    <r>
      <rPr>
        <rFont val="Arial"/>
        <i/>
        <color rgb="FF2F5496"/>
        <sz val="10.0"/>
      </rPr>
      <t>Name: payroll payment in February, 2018
Month: 02/2018
Employee: 8
Total Paid: X (sum of all emp)
Created date: Current date
Status: Pending
Status payment: Unpaid
The list is ordered by sendDate asc</t>
    </r>
    <r>
      <rPr>
        <rFont val="Arial"/>
        <color rgb="FF000000"/>
        <sz val="10.0"/>
      </rPr>
      <t xml:space="preserve">
</t>
    </r>
  </si>
  <si>
    <t>Verify that the user can view detail of the month payroll</t>
  </si>
  <si>
    <t xml:space="preserve">1. Go to payroll
2. Click view detail ( 01/2018)
</t>
  </si>
  <si>
    <t>The application shows detail screen, include 8 records
Each record is data of each employee</t>
  </si>
  <si>
    <t xml:space="preserve">Approved month payroll </t>
  </si>
  <si>
    <t>Verify that the user can approved the month payroll</t>
  </si>
  <si>
    <t>1. Go to payroll
2. Click approve at first reacord (01/2018)</t>
  </si>
  <si>
    <t xml:space="preserve">Reject the month payroll </t>
  </si>
  <si>
    <t>Verify that the user can reject  the month payroll</t>
  </si>
  <si>
    <t xml:space="preserve">1. Go to payroll
2. Click reject  at first reacord (02/2018)
3,. Input reason
- Reason reject </t>
  </si>
  <si>
    <t>View list of month payroll</t>
  </si>
  <si>
    <r>
      <rPr/>
      <t xml:space="preserve">The application shows two records:
</t>
    </r>
    <r>
      <rPr>
        <rFont val="Arial"/>
        <i/>
        <color rgb="FF2F5496"/>
        <sz val="10.0"/>
      </rPr>
      <t>Name:  payroll payment in january, 2018
Month: 01/2018
Employee: 8
Total Paid: X (sum of all emp)
Created date: Current date
Status: Approved
Status payment: Unpaid
----
Name: payroll payment in February, 2018
Month: 02/2018
Employee: 8
Total Paid: X (sum of all emp)
Created date: Current date
Status: Rejected 
Status payment: Unpaid
Comment: Reject reason</t>
    </r>
    <r>
      <rPr>
        <rFont val="Arial"/>
        <color rgb="FF000000"/>
        <sz val="10.0"/>
      </rPr>
      <t xml:space="preserve">
The list is ordered by create Date desc
</t>
    </r>
  </si>
  <si>
    <t xml:space="preserve">Mark payment for month payroll </t>
  </si>
  <si>
    <t>Verify that the user can mark payment the month payroll</t>
  </si>
  <si>
    <t>1. Go to payroll
2. Click Unpaid list</t>
  </si>
  <si>
    <r>
      <rPr/>
      <t xml:space="preserve">The application shows two records:
</t>
    </r>
    <r>
      <rPr>
        <rFont val="Arial"/>
        <i/>
        <color rgb="FF2F5496"/>
        <sz val="10.0"/>
      </rPr>
      <t>Name: payroll payment in january, 2018
Month: 01/2018
Employee: 8
Total Paid: X (sum of all emp)
Created date: Created date
Status payment: Unpaid
----
Name: payroll payment in February, 2018
Month: 02/2018
Employee: 8
Total Paid: X (sum of all emp)
Created date: Created date
Status payment: Unpaid</t>
    </r>
    <r>
      <rPr>
        <rFont val="Arial"/>
        <color rgb="FF000000"/>
        <sz val="10.0"/>
      </rPr>
      <t xml:space="preserve">
only shows records is approved and unpaid</t>
    </r>
  </si>
  <si>
    <t>Search the month payroll</t>
  </si>
  <si>
    <t>Verify that the user can search the month payroll</t>
  </si>
  <si>
    <t xml:space="preserve">1. Go to payroll
2. Input search condition
Payment Status : Paid
</t>
  </si>
  <si>
    <r>
      <rPr/>
      <t xml:space="preserve">The application shows one record match with search condition:
</t>
    </r>
    <r>
      <rPr>
        <rFont val="Arial"/>
        <i/>
        <color rgb="FF2F5496"/>
        <sz val="10.0"/>
      </rPr>
      <t>Name: Payroll payment in january, 2018
Month: 01/2018
Employee: 8
Total Paid: R= sum(r)
Created date: Created date
Status: Approved
Payment status: paid</t>
    </r>
    <r>
      <rPr>
        <rFont val="Arial"/>
        <color rgb="FF000000"/>
        <sz val="10.0"/>
      </rPr>
      <t xml:space="preserve">
The list is ordered by create Date desc
</t>
    </r>
  </si>
  <si>
    <t>11. Evaluation</t>
  </si>
  <si>
    <t>Seft- Evaluation</t>
  </si>
  <si>
    <t>Leader, HR, Mannager</t>
  </si>
  <si>
    <r>
      <t xml:space="preserve">Create a </t>
    </r>
    <r>
      <rPr>
        <sz val="10.0"/>
      </rPr>
      <t>Evaluation</t>
    </r>
  </si>
  <si>
    <t>Login with Leader account
johnson1235</t>
  </si>
  <si>
    <t>Verify that the user can create a self-Evaluation</t>
  </si>
  <si>
    <r>
      <t xml:space="preserve">1. Go to Evaluation screen
2. Tap on Create button
3. Input info of Evaluation
</t>
    </r>
    <r>
      <rPr>
        <i/>
        <color rgb="FF2F5496"/>
        <sz val="10.0"/>
      </rPr>
      <t xml:space="preserve">From: 1/1/2018 To: 31/03/2018
Evaluation name: Evaluate the probation process
</t>
    </r>
    <r>
      <rPr>
        <sz val="10.0"/>
      </rPr>
      <t>4. Tap on Add row button
5.Choose Criteria from criteria list:</t>
    </r>
    <r>
      <rPr>
        <i/>
        <color rgb="FF2F5496"/>
        <sz val="10.0"/>
      </rPr>
      <t xml:space="preserve">
Criteria: Working time
Priority: 1
Point: 
Note: non
Criteria: Skill
Priority: 5
Point: 
Note: abc
</t>
    </r>
    <r>
      <rPr>
        <sz val="10.0"/>
      </rPr>
      <t xml:space="preserve">
</t>
    </r>
    <r>
      <rPr>
        <color rgb="FF2F5496"/>
        <sz val="10.0"/>
      </rPr>
      <t>Evaluator: Marry
Be evaluated:  Marry
---
Evaluator: employee
Be evaluated:  employee</t>
    </r>
    <r>
      <rPr>
        <sz val="10.0"/>
      </rPr>
      <t xml:space="preserve">
6. Tap on Save button </t>
    </r>
  </si>
  <si>
    <r>
      <rPr/>
      <t xml:space="preserve">At step 4: New row was added in the Evaluation
At step 7: the draft evaluation with two criterias was created
The new Evaluation will display in the list with draft status
</t>
    </r>
    <r>
      <rPr>
        <rFont val="Arial"/>
        <i/>
        <color rgb="FF2F5496"/>
        <sz val="10.0"/>
      </rPr>
      <t>Name: Evaluate the probation process
Period  1/1/2018 - 31/03/2018
Number of Evaluations: 0/2
Status: Draft</t>
    </r>
    <r>
      <rPr>
        <rFont val="Arial"/>
        <color rgb="FF000000"/>
        <sz val="10.0"/>
      </rPr>
      <t xml:space="preserve">
</t>
    </r>
  </si>
  <si>
    <r>
      <t xml:space="preserve">Edit the </t>
    </r>
    <r>
      <rPr>
        <sz val="10.0"/>
      </rPr>
      <t>Evaluation</t>
    </r>
  </si>
  <si>
    <t>Verify that the user can Edit the Evaluation that not sent yet</t>
  </si>
  <si>
    <t xml:space="preserve">1. Go to Evaluation screen
2. Tap on the Edit button on the Evaluation that user want to Edit
</t>
  </si>
  <si>
    <r>
      <rPr/>
      <t xml:space="preserve">The application shows edit screen with some available info: 
</t>
    </r>
    <r>
      <rPr>
        <rFont val="Arial"/>
        <i/>
        <color rgb="FF2F5496"/>
        <sz val="10.0"/>
      </rPr>
      <t>From: 1/1/2018 To: 31/03/2018
Evaluation name: Evaluate the probation process
Objective
Criteria: Working time
Priority: 1
Point: 
Note: non
Criteria: Skill
Priority: 5
Point: 
Note: abc
Assignee
Evaluator: Marry
Be evaluated:  Marry
---
Evaluator: employee
Be evaluated:  employee</t>
    </r>
  </si>
  <si>
    <r>
      <rPr/>
      <t xml:space="preserve">3. Edit some fields:
</t>
    </r>
    <r>
      <rPr>
        <rFont val="Arial"/>
        <i/>
        <color rgb="FF2F5496"/>
        <sz val="10.0"/>
      </rPr>
      <t>Criteria: Working time
Priority: 2
Point: 
Note: non
Criteria: Skill
Priority: 5
Point: 
Note: abc
Evaluator: Marry
Be evaluated:  Marry</t>
    </r>
    <r>
      <rPr>
        <rFont val="Arial"/>
        <color rgb="FF000000"/>
        <sz val="10.0"/>
      </rPr>
      <t xml:space="preserve">
4. Tap on Save button</t>
    </r>
  </si>
  <si>
    <r>
      <rPr/>
      <t xml:space="preserve">The Evaluation list display
New update will be display in the Evaluation
</t>
    </r>
    <r>
      <rPr>
        <rFont val="Arial"/>
        <i/>
        <color rgb="FF2F5496"/>
        <sz val="10.0"/>
      </rPr>
      <t>Name: Evaluate the probation process
Period  1/1/2018 - 31/03/2018
Number of Evaluations: 0/1
Status: Draft</t>
    </r>
  </si>
  <si>
    <t>View the list of evaluation is assigned</t>
  </si>
  <si>
    <t>Login with employee role
acc: Marry1234</t>
  </si>
  <si>
    <t>Verify that the user can not view the list of evaluation when the evaluation is unpublished</t>
  </si>
  <si>
    <t>1. Go to Evaluation
2. Click Assigned evaluation</t>
  </si>
  <si>
    <t>Thre application shows "No record"</t>
  </si>
  <si>
    <t>Delete the Self-Evaluation</t>
  </si>
  <si>
    <t>Verify that the user can delete the evaluation in Draft status</t>
  </si>
  <si>
    <t>1. Go to Evaluation
2. Click Evaluation list
3. Click delete at record you want delete
4. Click yes</t>
  </si>
  <si>
    <t>2. The popup confirm is displayed
4. A record is removed from the evaluation list</t>
  </si>
  <si>
    <t>Create and send the evaluation</t>
  </si>
  <si>
    <t xml:space="preserve">verify that the user can create and send the evaluation </t>
  </si>
  <si>
    <r>
      <rPr/>
      <t xml:space="preserve">1. Go to Evaluation screen
2. Tap on Create button
3. Input info of Evaluation
</t>
    </r>
    <r>
      <rPr>
        <rFont val="Arial"/>
        <i/>
        <color rgb="FF2F5496"/>
        <sz val="10.0"/>
      </rPr>
      <t>From: 1/1/2017 To: 31/12/2017
Evaluation name: yearly evaluation
process
4. Tap on Add row button
5.Input info of Criteria:
Criteria: Working time
Priority: 1
Point: 
Note: non
Criteria: Skill
Priority: 5
Point: 
Note: abc
Criteria: Communication
Priority: 2
Point: 
Note: abc
Evaluator: Marry
Be evaluated:  Marry
Evaluator: Employee
Be evaluated:  Employee</t>
    </r>
    <r>
      <rPr>
        <rFont val="Arial"/>
        <color rgb="FF000000"/>
        <sz val="10.0"/>
      </rPr>
      <t xml:space="preserve">
6. Tap on Save and publish button </t>
    </r>
  </si>
  <si>
    <r>
      <rPr/>
      <t xml:space="preserve">The Evaluation list display
</t>
    </r>
    <r>
      <rPr>
        <rFont val="Arial"/>
        <sz val="10.0"/>
      </rPr>
      <t>New update will be display in the Evaluation</t>
    </r>
    <r>
      <rPr>
        <rFont val="Arial"/>
        <color rgb="FF2F5496"/>
        <sz val="10.0"/>
      </rPr>
      <t xml:space="preserve">
Name: yearly evaluation
Period  1/1/2017 - 31/12/2017
Number of Evaluations: 0/2</t>
    </r>
    <r>
      <rPr>
        <rFont val="Arial"/>
        <color rgb="FF000000"/>
        <sz val="10.0"/>
      </rPr>
      <t xml:space="preserve">
</t>
    </r>
    <r>
      <rPr>
        <rFont val="Arial"/>
        <i/>
        <color rgb="FF2F5496"/>
        <sz val="10.0"/>
      </rPr>
      <t>Status: Processing</t>
    </r>
  </si>
  <si>
    <r>
      <rPr/>
      <t xml:space="preserve">Send </t>
    </r>
    <r>
      <rPr>
        <rFont val="Arial"/>
        <b/>
        <color rgb="FF000000"/>
        <sz val="10.0"/>
      </rPr>
      <t>Evaluation</t>
    </r>
    <r>
      <rPr>
        <rFont val="Arial"/>
        <color rgb="FF000000"/>
        <sz val="10.0"/>
      </rPr>
      <t xml:space="preserve"> to Employee</t>
    </r>
  </si>
  <si>
    <t xml:space="preserve">Login with Leader account
johnson1235
Create a evaluation with info:
From: 1/1/2018 To: 31/03/2018
Evaluation name: Evaluate the probation process
4. Tap on Add row button
5.Input info of Criteria:
Criteria: Working time
Priority: 1
Point: 
Note: non
Criteria: Skill
Priority: 5
Point: 
Note: abc
Evaluator: Marry
Be evaluated:  Marry
</t>
  </si>
  <si>
    <t>Verify that the user can send the evaluation to an employee</t>
  </si>
  <si>
    <r>
      <rPr/>
      <t>1. Go to Evaluation screen
2. Tap on the draft evaluation was created  (</t>
    </r>
    <r>
      <rPr>
        <rFont val="Arial"/>
        <color rgb="FF2F5496"/>
        <sz val="10.0"/>
      </rPr>
      <t>Evaluate the probation process)</t>
    </r>
    <r>
      <rPr>
        <rFont val="Arial"/>
        <color rgb="FF000000"/>
        <sz val="10.0"/>
      </rPr>
      <t xml:space="preserve">
3. Tap on Send button</t>
    </r>
  </si>
  <si>
    <r>
      <rPr/>
      <t xml:space="preserve">The Evaluation will be changed status from Draft to Processing
</t>
    </r>
    <r>
      <rPr>
        <rFont val="Arial"/>
        <i/>
        <color rgb="FF2F5496"/>
        <sz val="10.0"/>
      </rPr>
      <t>Marry</t>
    </r>
    <r>
      <rPr>
        <rFont val="Arial"/>
        <color rgb="FF000000"/>
        <sz val="10.0"/>
      </rPr>
      <t xml:space="preserve"> will see this Evaluation in her app</t>
    </r>
  </si>
  <si>
    <r>
      <rPr/>
      <t xml:space="preserve">View detail of a </t>
    </r>
    <r>
      <rPr>
        <rFont val="Arial"/>
        <b/>
        <color rgb="FF000000"/>
        <sz val="10.0"/>
      </rPr>
      <t>Evaluation</t>
    </r>
    <r>
      <rPr>
        <rFont val="Arial"/>
        <color rgb="FF000000"/>
        <sz val="10.0"/>
      </rPr>
      <t xml:space="preserve"> </t>
    </r>
  </si>
  <si>
    <t xml:space="preserve">Verify that the user can View Detail of a evaluation </t>
  </si>
  <si>
    <r>
      <rPr/>
      <t>1. Go to Evaluation screen
2. Tap on the View Detail button on the Evaluation that user want to view</t>
    </r>
    <r>
      <rPr>
        <rFont val="Arial"/>
        <i/>
        <color rgb="FF2F5496"/>
        <sz val="10.0"/>
      </rPr>
      <t xml:space="preserve">
</t>
    </r>
  </si>
  <si>
    <t>All information of this Evaluation display, 
User can't edit anything</t>
  </si>
  <si>
    <t>View the Evaluation list</t>
  </si>
  <si>
    <t>Verify that the user can view the Evaluation list</t>
  </si>
  <si>
    <t>1. Go to Evaluation
2. Click Evaluation list</t>
  </si>
  <si>
    <r>
      <rPr/>
      <t xml:space="preserve">The Evaluation screen display with the list
</t>
    </r>
    <r>
      <rPr>
        <rFont val="Arial"/>
        <i/>
        <color rgb="FF2F5496"/>
        <sz val="10.0"/>
      </rPr>
      <t>Name: yearly evaluation
Period  1/1/2017 - 31/12/2017
Number of Evaluations: 0/2
Status: Processing</t>
    </r>
    <r>
      <rPr>
        <rFont val="Arial"/>
        <color rgb="FF000000"/>
        <sz val="10.0"/>
      </rPr>
      <t xml:space="preserve">
---
</t>
    </r>
    <r>
      <rPr>
        <rFont val="Arial"/>
        <i/>
        <color rgb="FF2F5496"/>
        <sz val="10.0"/>
      </rPr>
      <t>Name: Evaluate the probation process
Period  1/1/2018 - 31/03/2018
Number of Evaluations: 0/1
Status: Processing</t>
    </r>
  </si>
  <si>
    <t>3. Input search conditions
4. Click search</t>
  </si>
  <si>
    <t>Verify that the user can view the list of evaluation is assigned</t>
  </si>
  <si>
    <r>
      <rPr/>
      <t xml:space="preserve">The application shows two record:
</t>
    </r>
    <r>
      <rPr>
        <rFont val="Arial"/>
        <i/>
        <color rgb="FF2F5496"/>
        <sz val="10.0"/>
      </rPr>
      <t>Name: yearly evaluation
Period  1/1/2017 - 31/12/2017
Number of Evaluations: 0/2
Status: Processing</t>
    </r>
    <r>
      <rPr>
        <rFont val="Arial"/>
        <color rgb="FF000000"/>
        <sz val="10.0"/>
      </rPr>
      <t xml:space="preserve">
</t>
    </r>
    <r>
      <rPr>
        <rFont val="Arial"/>
        <i/>
        <color rgb="FF2F5496"/>
        <sz val="10.0"/>
      </rPr>
      <t>Name: Evaluate the probation process
Period  1/1/2018 - 31/03/2018
Number of Evaluations: 0/1
Status: Processing</t>
    </r>
  </si>
  <si>
    <t>Implement evaluation</t>
  </si>
  <si>
    <t xml:space="preserve">Verify that the user can implement a evaluation is assigned </t>
  </si>
  <si>
    <r>
      <rPr/>
      <t xml:space="preserve">1. Go to Evaluation
2. Click Assigned evaluation
3. Click implement " </t>
    </r>
    <r>
      <rPr>
        <rFont val="Arial"/>
        <i/>
        <color rgb="FF2F5496"/>
        <sz val="10.0"/>
      </rPr>
      <t>Evaluate the probation process"</t>
    </r>
  </si>
  <si>
    <r>
      <rPr/>
      <t xml:space="preserve">The application shows implement screen
</t>
    </r>
    <r>
      <rPr>
        <rFont val="Arial"/>
        <i/>
        <color rgb="FF2F5496"/>
        <sz val="10.0"/>
      </rPr>
      <t>From: 1/1/2018 To: 31/03/2018
Evaluation name: Evaluate the probation process
Be evaluated
Name : marry
Position: sale staff
Objective
Criteria: Working time
Priority: 1
Point: 
Note: non
Criteria: Skill
Priority: 5
Point: 
Note: abc
Textbox Comment</t>
    </r>
    <r>
      <rPr>
        <rFont val="Arial"/>
        <color rgb="FF000000"/>
        <sz val="10.0"/>
      </rPr>
      <t xml:space="preserve">
</t>
    </r>
  </si>
  <si>
    <r>
      <rPr/>
      <t xml:space="preserve">4. Input point
</t>
    </r>
    <r>
      <rPr>
        <rFont val="Arial"/>
        <i/>
        <color rgb="FF2F5496"/>
        <sz val="10.0"/>
      </rPr>
      <t>Criteria: Working time
Point: 9
Criteria: skill
Point: 9
Comment: Very good</t>
    </r>
    <r>
      <rPr>
        <rFont val="Arial"/>
        <color rgb="FF000000"/>
        <sz val="10.0"/>
      </rPr>
      <t xml:space="preserve">
5. Click send</t>
    </r>
  </si>
  <si>
    <t>The evaluation is implemented successfull
Icon implemented disappear from list, icon view result appear
The result  is sent to creator (johnson1235)</t>
  </si>
  <si>
    <t>View result that you implement</t>
  </si>
  <si>
    <t>Verify that the user can view result implemented again</t>
  </si>
  <si>
    <t>1. Go to Evaluation
2. Click Assigned evaluation
3. Click view result</t>
  </si>
  <si>
    <r>
      <rPr/>
      <t xml:space="preserve">The result is displayed, detail
</t>
    </r>
    <r>
      <rPr>
        <rFont val="Arial"/>
        <i/>
        <color rgb="FF2F5496"/>
        <sz val="10.0"/>
      </rPr>
      <t>From: 1/1/2018 To: 31/03/2018
Evaluation name: Evaluate the probation process
Be evaluated
Name : marry
Position: sale staff
Objective
Criteria: Working time
Priority: 1
Point: 9
Note: non
Criteria: Skill
Priority: 5
Point: 9
Note: abc
Comment: very good</t>
    </r>
  </si>
  <si>
    <t>View result is sent from employee</t>
  </si>
  <si>
    <t>Verify that the user can view result is sent from the evaluator</t>
  </si>
  <si>
    <t>1. Go to Evaluation
2. Click Evaluation result</t>
  </si>
  <si>
    <r>
      <rPr/>
      <t xml:space="preserve">The application shows one record:
</t>
    </r>
    <r>
      <rPr>
        <rFont val="Arial"/>
        <i/>
        <color rgb="FF2F5496"/>
        <sz val="10.0"/>
      </rPr>
      <t>Name: Evaluate the probation process
Period  1/1/2018 - 31/03/2018
Number of Evaluations: 1/1
Evaluator: Marry
Be evaluated: Marry
Status: Processing</t>
    </r>
    <r>
      <rPr>
        <rFont val="Arial"/>
        <color rgb="FF000000"/>
        <sz val="10.0"/>
      </rPr>
      <t xml:space="preserve">
</t>
    </r>
  </si>
  <si>
    <r>
      <rPr/>
      <t xml:space="preserve">The application shows detail info
</t>
    </r>
    <r>
      <rPr>
        <rFont val="Arial"/>
        <i/>
        <color rgb="FF2F5496"/>
        <sz val="10.0"/>
      </rPr>
      <t>From: 1/1/2018 To: 31/03/2018
Evaluation name: Evaluate the probation process
Be evaluated
Name : marry
Position: sale staff
Objective
Criteria: Working time
Priority: 1
Point: 9
Note: non
Criteria: Skill
Priority: 5
Point: 9
Note: abc
Comment: very good</t>
    </r>
  </si>
  <si>
    <t>Send the result to employee</t>
  </si>
  <si>
    <t>Verify that the user can choose and send result to employee</t>
  </si>
  <si>
    <t>1. Go to Evaluation
2. Click Evaluation result
3. Check checkbox that you need
4. Click send result</t>
  </si>
  <si>
    <t>The result is sent to employee</t>
  </si>
  <si>
    <t>Mark done the evaluation</t>
  </si>
  <si>
    <t>Verify that the user can mark completed the evaluation</t>
  </si>
  <si>
    <t>1. Go to Evaluation
2. Click Evaluationlist
3. Click markdone
4. Click yes</t>
  </si>
  <si>
    <t>3. The confirm popup is displayed
4. The evaluation will be changed status from Processing to Completed</t>
  </si>
  <si>
    <t>View result is send from leader</t>
  </si>
  <si>
    <t>Verify that the user can view result is send from leader</t>
  </si>
  <si>
    <t>1. Go to Evaluation
2. Click My evaluation</t>
  </si>
  <si>
    <r>
      <t xml:space="preserve">The applictaion shows one record
</t>
    </r>
    <r>
      <rPr>
        <i/>
        <color rgb="FF2F5496"/>
        <sz val="10.0"/>
      </rPr>
      <t>Name: Evaluate the probation process
Period  1/1/2018 - 31/03/2018
Status: Completed</t>
    </r>
    <r>
      <rPr>
        <sz val="10.0"/>
      </rPr>
      <t xml:space="preserve">
</t>
    </r>
  </si>
  <si>
    <t>3. Click detail</t>
  </si>
  <si>
    <r>
      <rPr/>
      <t xml:space="preserve">The application shows detail info
</t>
    </r>
    <r>
      <rPr>
        <rFont val="Arial"/>
        <i/>
        <color rgb="FF2F5496"/>
        <sz val="10.0"/>
      </rPr>
      <t>From: 1/1/2018 To: 31/03/2018
Evaluation name: Evaluate the probation process
Be evaluated
Name : marry
Position: sale staff
Objective
Criteria: Working time
Priority: 1
Point: 9
Note: non
Criteria: Skill
Priority: 5
Point: 9
Note: abc
Comment: very good</t>
    </r>
  </si>
  <si>
    <t>Leader evaluate employee</t>
  </si>
  <si>
    <r>
      <rPr/>
      <t xml:space="preserve">Create </t>
    </r>
    <r>
      <rPr>
        <rFont val="Arial"/>
        <b/>
        <color rgb="FF000000"/>
        <sz val="10.0"/>
      </rPr>
      <t>Evaluation</t>
    </r>
  </si>
  <si>
    <t>Verify that the user can create a Evaluation for employee</t>
  </si>
  <si>
    <r>
      <rPr/>
      <t xml:space="preserve">1. Go to Evaluation screen
2. Tap on Create button
3. Input info of Evaluation
</t>
    </r>
    <r>
      <rPr>
        <rFont val="Arial"/>
        <i/>
        <color rgb="FF2F5496"/>
        <sz val="10.0"/>
      </rPr>
      <t xml:space="preserve">From: 1/1/2018 To: 31/03/2018
Evaluation name: Evaluate the probation process
</t>
    </r>
    <r>
      <rPr>
        <rFont val="Arial"/>
        <color rgb="FF000000"/>
        <sz val="10.0"/>
      </rPr>
      <t>4. Tap on Add row button
5.Input info of Criteria:</t>
    </r>
    <r>
      <rPr>
        <rFont val="Arial"/>
        <i/>
        <color rgb="FF2F5496"/>
        <sz val="10.0"/>
      </rPr>
      <t xml:space="preserve">
Criteria: Working time
Priority: 1
Point: 
Note: non
Criteria: Skill
Priority: 5
Point: 
Note: abc
</t>
    </r>
    <r>
      <rPr>
        <rFont val="Arial"/>
        <color rgb="FF000000"/>
        <sz val="10.0"/>
      </rPr>
      <t xml:space="preserve">
</t>
    </r>
    <r>
      <rPr>
        <rFont val="Arial"/>
        <color rgb="FF2F5496"/>
        <sz val="10.0"/>
      </rPr>
      <t>Evaluator: leader1
Be evaluated:  Marry
---</t>
    </r>
    <r>
      <rPr>
        <rFont val="Arial"/>
        <color rgb="FF000000"/>
        <sz val="10.0"/>
      </rPr>
      <t xml:space="preserve">
6. Tap on Save button </t>
    </r>
  </si>
  <si>
    <r>
      <rPr/>
      <t xml:space="preserve">At step 4: New row was added in the Evaluation
At step 7: the draft evaluation with two criterias was created
The new Evaluation will display in the list with draft status
</t>
    </r>
    <r>
      <rPr>
        <rFont val="Arial"/>
        <i/>
        <color rgb="FF2F5496"/>
        <sz val="10.0"/>
      </rPr>
      <t>Name: Evaluate the probation process
Period  1/1/2018 - 31/03/2018
Number of Evaluations: 0/1
Status: Draft</t>
    </r>
    <r>
      <rPr>
        <rFont val="Arial"/>
        <color rgb="FF000000"/>
        <sz val="10.0"/>
      </rPr>
      <t xml:space="preserve">
</t>
    </r>
  </si>
  <si>
    <r>
      <rPr/>
      <t xml:space="preserve">Edit the </t>
    </r>
    <r>
      <rPr>
        <rFont val="Arial"/>
        <b/>
        <color rgb="FF000000"/>
        <sz val="10.0"/>
      </rPr>
      <t>Evaluation</t>
    </r>
  </si>
  <si>
    <r>
      <rPr/>
      <t xml:space="preserve">The application shows edit screen with some available info: 
</t>
    </r>
    <r>
      <rPr>
        <rFont val="Arial"/>
        <i/>
        <color rgb="FF2F5496"/>
        <sz val="10.0"/>
      </rPr>
      <t>From: 1/1/2018 To: 31/03/2018
Evaluation name: Evaluate the probation process
Objective
Criteria: Working time
Priority: 1
Point: 
Note: non
Criteria: Skill
Priority: 5
Point: 
Note: abc
Assignee
Evaluator: Marry
Be evaluated:  Marry
---
Evaluator: employee
Be evaluated:  employee</t>
    </r>
  </si>
  <si>
    <r>
      <t xml:space="preserve">3. Edit some fields:
</t>
    </r>
    <r>
      <rPr>
        <i/>
        <color rgb="FF2F5496"/>
        <sz val="10.0"/>
      </rPr>
      <t>Criteria: Working time
Priority: 2
Point: 
Note: non
Criteria: Skill technique
Priority: 5
Point: 
Note: 
Evaluator: Leader1
Be evaluated:  Marry</t>
    </r>
    <r>
      <rPr>
        <sz val="10.0"/>
      </rPr>
      <t xml:space="preserve">
4. Tap on Save button</t>
    </r>
  </si>
  <si>
    <r>
      <rPr/>
      <t xml:space="preserve">The Evaluation list display
New update will be display in the Evaluation
</t>
    </r>
    <r>
      <rPr>
        <rFont val="Arial"/>
        <i/>
        <color rgb="FF2F5496"/>
        <sz val="10.0"/>
      </rPr>
      <t>Name: Evaluate the probation process
Period  1/1/2018 - 31/03/2018
Number of Evaluations: 0/1
Status: Draft</t>
    </r>
  </si>
  <si>
    <t>Delete the Evaluation</t>
  </si>
  <si>
    <r>
      <t xml:space="preserve">1. Go to Evaluation screen
2. Tap on Create button
3. Input info of Evaluation
</t>
    </r>
    <r>
      <rPr>
        <i/>
        <color rgb="FF2F5496"/>
        <sz val="10.0"/>
      </rPr>
      <t xml:space="preserve">From: 1/1/2017 To: 31/12/2017
Evaluation name: yearly evaluation
process
</t>
    </r>
    <r>
      <rPr>
        <sz val="10.0"/>
      </rPr>
      <t>4. Choose/ add criteria</t>
    </r>
    <r>
      <rPr>
        <i/>
        <color rgb="FF2F5496"/>
        <sz val="10.0"/>
      </rPr>
      <t xml:space="preserve">
Criteria: Working time
Priority: 1
Point: 
Note: non
Criteria: Skill
Priority: 5
Point: 
Note: abc
Criteria: Communication
Priority: 2
Point: 
Note: abc
Evaluator: Leader1
Be evaluated:  Marry
Evaluator: Leader1
Be evaluated:  Employee</t>
    </r>
    <r>
      <rPr>
        <sz val="10.0"/>
      </rPr>
      <t xml:space="preserve">
6. Tap on Save and publish button </t>
    </r>
  </si>
  <si>
    <r>
      <rPr/>
      <t xml:space="preserve">The Evaluation list display
</t>
    </r>
    <r>
      <rPr>
        <rFont val="Arial"/>
        <sz val="10.0"/>
      </rPr>
      <t>New update will be display in the Evaluation</t>
    </r>
    <r>
      <rPr>
        <rFont val="Arial"/>
        <color rgb="FF2F5496"/>
        <sz val="10.0"/>
      </rPr>
      <t xml:space="preserve">
Name: yearly evaluation
Period  1/1/2017 - 31/12/2017
Number of Evaluations: 0/2</t>
    </r>
    <r>
      <rPr>
        <rFont val="Arial"/>
        <color rgb="FF000000"/>
        <sz val="10.0"/>
      </rPr>
      <t xml:space="preserve">
</t>
    </r>
    <r>
      <rPr>
        <rFont val="Arial"/>
        <i/>
        <color rgb="FF2F5496"/>
        <sz val="10.0"/>
      </rPr>
      <t>Status: Processing</t>
    </r>
  </si>
  <si>
    <r>
      <rPr/>
      <t xml:space="preserve">Send </t>
    </r>
    <r>
      <rPr>
        <rFont val="Arial"/>
        <b/>
        <color rgb="FF000000"/>
        <sz val="10.0"/>
      </rPr>
      <t>Evaluation</t>
    </r>
    <r>
      <rPr>
        <rFont val="Arial"/>
        <color rgb="FF000000"/>
        <sz val="10.0"/>
      </rPr>
      <t xml:space="preserve"> to Employee</t>
    </r>
  </si>
  <si>
    <r>
      <t>Login with Leader account
leader11237</t>
    </r>
    <r>
      <rPr>
        <i/>
        <color rgb="FF1155CC"/>
        <sz val="10.0"/>
      </rPr>
      <t xml:space="preserve">
</t>
    </r>
    <r>
      <rPr>
        <sz val="10.0"/>
      </rPr>
      <t>Create a evaluation with info:</t>
    </r>
    <r>
      <rPr>
        <i/>
        <color rgb="FF2F5496"/>
        <sz val="10.0"/>
      </rPr>
      <t xml:space="preserve">
From: 1/1/2018 To: 31/03/2018
Evaluation name: Evaluate the probation process
4. Tap on Add row button
5.Input info of Criteria:
Criteria: Working time
Priority: 1
Point: 
Note: non
Criteria: Skill
Priority: 5
Point: 
Note: abc
Evaluator: Leader1
Be evaluated:  Marry</t>
    </r>
    <r>
      <rPr>
        <i/>
        <color rgb="FF1155CC"/>
        <sz val="10.0"/>
      </rPr>
      <t xml:space="preserve">
</t>
    </r>
  </si>
  <si>
    <t>Verify that the user can send a Evaluation to an employee</t>
  </si>
  <si>
    <r>
      <rPr/>
      <t>1. Go to Evaluation screen
2. Tap on the draft evaluation was created  (</t>
    </r>
    <r>
      <rPr>
        <rFont val="Arial"/>
        <color rgb="FF2F5496"/>
        <sz val="10.0"/>
      </rPr>
      <t>Evaluate the probation process)</t>
    </r>
    <r>
      <rPr>
        <rFont val="Arial"/>
        <color rgb="FF000000"/>
        <sz val="10.0"/>
      </rPr>
      <t xml:space="preserve">
3. Tap on Send button</t>
    </r>
  </si>
  <si>
    <r>
      <t xml:space="preserve">The Evaluation will be changed status from Draft to Processing
</t>
    </r>
    <r>
      <rPr>
        <i/>
        <color rgb="FF2F5496"/>
        <sz val="10.0"/>
      </rPr>
      <t>Marry</t>
    </r>
    <r>
      <rPr>
        <sz val="10.0"/>
      </rPr>
      <t xml:space="preserve"> will see this Evaluation in  My evaluation
</t>
    </r>
    <r>
      <rPr>
        <i/>
        <color rgb="FF2F5496"/>
      </rPr>
      <t>Leader1</t>
    </r>
    <r>
      <t xml:space="preserve"> can see this evaluation in Assigned evaluation</t>
    </r>
  </si>
  <si>
    <r>
      <t xml:space="preserve">View detail of a </t>
    </r>
    <r>
      <rPr>
        <sz val="10.0"/>
      </rPr>
      <t xml:space="preserve">Evaluation </t>
    </r>
  </si>
  <si>
    <r>
      <rPr/>
      <t>1. Go to Evaluation screen
2. Tap on the View Detail button on the Evaluation that user want to view</t>
    </r>
    <r>
      <rPr>
        <rFont val="Arial"/>
        <i/>
        <color rgb="FF2F5496"/>
        <sz val="10.0"/>
      </rPr>
      <t xml:space="preserve">
</t>
    </r>
  </si>
  <si>
    <r>
      <rPr/>
      <t xml:space="preserve">The Evaluation screen display with the list
</t>
    </r>
    <r>
      <rPr>
        <rFont val="Arial"/>
        <i/>
        <color rgb="FF2F5496"/>
        <sz val="10.0"/>
      </rPr>
      <t>Name: yearly evaluation
Period  1/1/2017 - 31/12/2017
Number of Evaluations: 0/2
Status: Processing</t>
    </r>
    <r>
      <rPr>
        <rFont val="Arial"/>
        <color rgb="FF000000"/>
        <sz val="10.0"/>
      </rPr>
      <t xml:space="preserve">
---
</t>
    </r>
    <r>
      <rPr>
        <rFont val="Arial"/>
        <i/>
        <color rgb="FF2F5496"/>
        <sz val="10.0"/>
      </rPr>
      <t>Name: Evaluate the probation process
Period  1/1/2018 - 31/03/2018
Number of Evaluations: 0/1
Status: Processing</t>
    </r>
  </si>
  <si>
    <r>
      <rPr/>
      <t xml:space="preserve">The application shows two record:
</t>
    </r>
    <r>
      <rPr>
        <rFont val="Arial"/>
        <i/>
        <color rgb="FF2F5496"/>
        <sz val="10.0"/>
      </rPr>
      <t>Name: yearly evaluation
Period  1/1/2017 - 31/12/2017
Number of Evaluations: 0/2
Status: Processing</t>
    </r>
    <r>
      <rPr>
        <rFont val="Arial"/>
        <color rgb="FF000000"/>
        <sz val="10.0"/>
      </rPr>
      <t xml:space="preserve">
</t>
    </r>
    <r>
      <rPr>
        <rFont val="Arial"/>
        <i/>
        <color rgb="FF2F5496"/>
        <sz val="10.0"/>
      </rPr>
      <t>Name: Evaluate the probation process
Period  1/1/2018 - 31/03/2018
Number of Evaluations: 0/1
Status: Processing</t>
    </r>
  </si>
  <si>
    <r>
      <t>1. Go to Evaluation
2. Click Assigned evaluation
3. Click implement "</t>
    </r>
    <r>
      <rPr>
        <i/>
        <color rgb="FF2F5496"/>
        <sz val="10.0"/>
      </rPr>
      <t>yearly evaluation"</t>
    </r>
  </si>
  <si>
    <r>
      <t xml:space="preserve">The application shows implement screen
</t>
    </r>
    <r>
      <rPr>
        <i/>
        <color rgb="FF2F5496"/>
        <sz val="10.0"/>
      </rPr>
      <t>Name: yearly evaluation
Period  1/1/2017 - 31/12/2017
Be evaluated
Name : marry
Position: sale staff
Criteria: Working time
Priority: 1
Point: 
Note: non
Criteria: Skill
Priority: 5
Point: 
Note: abc
Criteria: Communication
Priority: 2
Point: 
Note: abc
Textbox Comment</t>
    </r>
    <r>
      <rPr>
        <sz val="10.0"/>
      </rPr>
      <t xml:space="preserve">
</t>
    </r>
  </si>
  <si>
    <r>
      <rPr/>
      <t xml:space="preserve">4. Input point
</t>
    </r>
    <r>
      <rPr>
        <rFont val="Arial"/>
        <i/>
        <color rgb="FF2F5496"/>
        <sz val="10.0"/>
      </rPr>
      <t>Criteria: Working time
Point: 9
Criteria: skill
Point: 9
Criteria: Communication
Point: 8
Comment: Very good</t>
    </r>
    <r>
      <rPr>
        <rFont val="Arial"/>
        <color rgb="FF000000"/>
        <sz val="10.0"/>
      </rPr>
      <t xml:space="preserve">
5. Click send</t>
    </r>
  </si>
  <si>
    <t>The evaluation is implemented successfull
Icon implemented disappear from list, icon view result appear
The result  is sent to creator (leader1)</t>
  </si>
  <si>
    <r>
      <rPr/>
      <t xml:space="preserve">The result is displayed, detail
</t>
    </r>
    <r>
      <rPr>
        <rFont val="Arial"/>
        <i/>
        <color rgb="FF2F5496"/>
        <sz val="10.0"/>
      </rPr>
      <t>From: 1/1/2017 - to: 31/12/2017
Evaluation name: yearly evaluation
Be evaluated
Name : marry
Position: sale staff
Objective
Criteria: Working time
Priority: 1
Point: 9
Note: non
Criteria: Skill
Priority: 5
Point: 9
Note: abc
Criteria: Communication
Priority: 2
Point: 8
Note: abc
Comment: very good</t>
    </r>
  </si>
  <si>
    <t>View result is sent to employee</t>
  </si>
  <si>
    <r>
      <rPr/>
      <t xml:space="preserve">The application shows one record:
</t>
    </r>
    <r>
      <rPr>
        <rFont val="Arial"/>
        <i/>
        <color rgb="FF2F5496"/>
        <sz val="10.0"/>
      </rPr>
      <t>Name: yearly evaluation
Period  1/1/2017 - 31/12/2017
Number of Evaluations: 1/2
Evaluator: Leader1
Be evaluated: Marry
Status: Processing</t>
    </r>
    <r>
      <rPr>
        <rFont val="Arial"/>
        <color rgb="FF000000"/>
        <sz val="10.0"/>
      </rPr>
      <t xml:space="preserve">
</t>
    </r>
  </si>
  <si>
    <r>
      <rPr/>
      <t xml:space="preserve">The application shows detail info
</t>
    </r>
    <r>
      <rPr>
        <rFont val="Arial"/>
        <i/>
        <color rgb="FF2F5496"/>
        <sz val="10.0"/>
      </rPr>
      <t>From: 1/1/2017 - to: 31/12/2017
Evaluation name: yearly evaluation
Be evaluated
Name : marry
Position: sale staff
Objective
Criteria: Working time
Priority: 1
Point: 9
Note: non
Criteria: Skill
Priority: 5
Point: 9
Note: abc
Criteria: Communication
Priority: 2
Point: 8
Note: abc
Comment: very good</t>
    </r>
  </si>
  <si>
    <t>Send to the result is employee</t>
  </si>
  <si>
    <r>
      <t xml:space="preserve">The application shows one record
</t>
    </r>
    <r>
      <rPr>
        <i/>
        <color rgb="FF2F5496"/>
        <sz val="10.0"/>
      </rPr>
      <t>Name: yearly evaluation
Period  1/1/2017 - 31/12/2017
Status: Completed</t>
    </r>
    <r>
      <rPr>
        <sz val="10.0"/>
      </rPr>
      <t xml:space="preserve">
</t>
    </r>
  </si>
  <si>
    <r>
      <rPr/>
      <t xml:space="preserve">The application shows detail info
</t>
    </r>
    <r>
      <rPr>
        <rFont val="Arial"/>
        <i/>
        <color rgb="FF2F5496"/>
        <sz val="10.0"/>
      </rPr>
      <t>From: 1/1/2018 To: 31/03/2018
Evaluation name: Evaluate the probation process
Be evaluated
Name : marry
Position: sale staff
Objective
Criteria: Working time
Priority: 1
Point: 9
Note: non
Criteria: Skill
Priority: 5
Point: 9
Note: abc
Criteria: Communication
Priority: 2
Point: 8
Note: abc
Comment: very good</t>
    </r>
  </si>
  <si>
    <t>Login with employee role
acc: emp1241</t>
  </si>
  <si>
    <t xml:space="preserve">The application shows "No record"
</t>
  </si>
  <si>
    <t>Employee evaluate employee</t>
  </si>
  <si>
    <r>
      <rPr/>
      <t xml:space="preserve">Create </t>
    </r>
    <r>
      <rPr>
        <rFont val="Arial"/>
        <b/>
        <color rgb="FF000000"/>
        <sz val="10.0"/>
      </rPr>
      <t>Evaluation</t>
    </r>
  </si>
  <si>
    <t>Login with Manager acc
manager11238</t>
  </si>
  <si>
    <r>
      <t xml:space="preserve">1. Go to Evaluation screen
2. Tap on Create button
3. Input info of Evaluation
</t>
    </r>
    <r>
      <rPr>
        <i/>
        <color rgb="FF2F5496"/>
        <sz val="10.0"/>
      </rPr>
      <t>From: 1/1/2017 To: 31/12/2017
Evaluation name:yearly evaluation</t>
    </r>
    <r>
      <rPr>
        <sz val="10.0"/>
      </rPr>
      <t xml:space="preserve">
5.Choose criterias from criteria list:</t>
    </r>
    <r>
      <rPr>
        <i/>
        <color rgb="FF2F5496"/>
        <sz val="10.0"/>
      </rPr>
      <t xml:space="preserve">
Criteria: Working time
Priority: 1
Point: 
Note: non
Criteria: Skill
Priority: 5
Point: 
Note: abc
Criteria: Communication
Priority: 5
Point: 
Note: abc
</t>
    </r>
    <r>
      <rPr>
        <sz val="10.0"/>
      </rPr>
      <t xml:space="preserve">
</t>
    </r>
    <r>
      <rPr>
        <color rgb="FF2F5496"/>
        <sz val="10.0"/>
      </rPr>
      <t>Evaluator: leader1
Be evaluated:  johson
---
Evaluator: johnson
Be evaluated:  leader1</t>
    </r>
    <r>
      <rPr>
        <sz val="10.0"/>
      </rPr>
      <t xml:space="preserve">
6. Tap on Save and publish button </t>
    </r>
  </si>
  <si>
    <r>
      <t xml:space="preserve">At step 4: New row was added in the Evaluation
At step 7: the draft evaluation with three criterias was created
The new Evaluation will display in the list with draft status
</t>
    </r>
    <r>
      <rPr>
        <i/>
        <color rgb="FF2F5496"/>
        <sz val="10.0"/>
      </rPr>
      <t>Name: yearly evaluation
Period  1/1/2017 - 31/12/2017
Number of Evaluations: 0/1
Status: Processing</t>
    </r>
    <r>
      <rPr>
        <sz val="10.0"/>
      </rPr>
      <t xml:space="preserve">
</t>
    </r>
  </si>
  <si>
    <r>
      <rPr/>
      <t xml:space="preserve">View detail of a </t>
    </r>
    <r>
      <rPr>
        <rFont val="Arial"/>
        <b/>
        <color rgb="FF000000"/>
        <sz val="10.0"/>
      </rPr>
      <t>Evaluation</t>
    </r>
    <r>
      <rPr>
        <rFont val="Arial"/>
        <color rgb="FF000000"/>
        <sz val="10.0"/>
      </rPr>
      <t xml:space="preserve"> </t>
    </r>
  </si>
  <si>
    <r>
      <rPr/>
      <t>1. Go to Evaluation screen
2. Tap on the View Detail button on the Evaluation that user want to view</t>
    </r>
    <r>
      <rPr>
        <rFont val="Arial"/>
        <i/>
        <color rgb="FF2F5496"/>
        <sz val="10.0"/>
      </rPr>
      <t xml:space="preserve">
</t>
    </r>
  </si>
  <si>
    <r>
      <rPr/>
      <t>The Evaluation screen display with the list</t>
    </r>
    <r>
      <rPr>
        <rFont val="Arial"/>
        <color rgb="FF000000"/>
        <sz val="10.0"/>
      </rPr>
      <t xml:space="preserve">
</t>
    </r>
    <r>
      <rPr>
        <rFont val="Arial"/>
        <i/>
        <color rgb="FF2F5496"/>
        <sz val="10.0"/>
      </rPr>
      <t>Name: Evaluate the probation process
Period  1/1/2018 - 31/03/2018
Number of Evaluations: 0/1
Status: Processing</t>
    </r>
  </si>
  <si>
    <t>Login with employee account
leader11237</t>
  </si>
  <si>
    <r>
      <rPr/>
      <t xml:space="preserve">The application shows two record:
</t>
    </r>
    <r>
      <rPr>
        <rFont val="Arial"/>
        <i/>
        <color rgb="FF2F5496"/>
        <sz val="10.0"/>
      </rPr>
      <t>Name: yearly evaluation
Period  1/1/2017 - 31/12/2017
Number of Evaluations: 0/2
Status: Processing</t>
    </r>
  </si>
  <si>
    <t>Login with employee account
johnson</t>
  </si>
  <si>
    <r>
      <rPr/>
      <t xml:space="preserve">The application shows two record:
</t>
    </r>
    <r>
      <rPr>
        <rFont val="Arial"/>
        <i/>
        <color rgb="FF2F5496"/>
        <sz val="10.0"/>
      </rPr>
      <t>Name: yearly evaluation
Period  1/1/2017 - 31/12/2017
Number of Evaluations: 0/2
Status: Processing</t>
    </r>
  </si>
  <si>
    <r>
      <rPr/>
      <t xml:space="preserve">1. Go to Evaluation
2. Click Assigned evaluation
3. Click implement " </t>
    </r>
    <r>
      <rPr>
        <rFont val="Arial"/>
        <i/>
        <color rgb="FF2F5496"/>
        <sz val="10.0"/>
      </rPr>
      <t>yearly evaluation</t>
    </r>
  </si>
  <si>
    <r>
      <rPr/>
      <t xml:space="preserve">The application shows implement screen
</t>
    </r>
    <r>
      <rPr>
        <rFont val="Arial"/>
        <i/>
        <color rgb="FF2F5496"/>
        <sz val="10.0"/>
      </rPr>
      <t>Name: yearly evaluation
Period  1/1/2017 - 31/12/2017
Be evaluated
Name : marry
Position: sale staff
Criteria: Working time
Priority: 1
Point: 
Note: non
Criteria: Skill
Priority: 5
Point: 
Note: abc
Criteria: Communication
Priority: 2
Point: 
Note: abc
Textbox Comment</t>
    </r>
    <r>
      <rPr>
        <rFont val="Arial"/>
        <color rgb="FF000000"/>
        <sz val="10.0"/>
      </rPr>
      <t xml:space="preserve">
</t>
    </r>
  </si>
  <si>
    <r>
      <rPr/>
      <t xml:space="preserve">4. Input point
</t>
    </r>
    <r>
      <rPr>
        <rFont val="Arial"/>
        <i/>
        <color rgb="FF2F5496"/>
        <sz val="10.0"/>
      </rPr>
      <t>Criteria: Working time
Point: 9
Criteria: skill
Point: 9
Criteria: Communication
Point: 8
Comment: Very good</t>
    </r>
    <r>
      <rPr>
        <rFont val="Arial"/>
        <color rgb="FF000000"/>
        <sz val="10.0"/>
      </rPr>
      <t xml:space="preserve">
5. Click send</t>
    </r>
  </si>
  <si>
    <r>
      <rPr/>
      <t xml:space="preserve">The result is displayed, detail
</t>
    </r>
    <r>
      <rPr>
        <rFont val="Arial"/>
        <i/>
        <color rgb="FF2F5496"/>
        <sz val="10.0"/>
      </rPr>
      <t>From: 1/1/2017 - to: 31/12/2017
Evaluation name: yearly evaluation
Be evaluated
Name : marry
Position: sale staff
Objective
Criteria: Working time
Priority: 1
Point: 9
Note: non
Criteria: Skill
Priority: 5
Point: 9
Note: abc
Criteria: Communication
Priority: 2
Point: 8
Note: abc
Comment: very good</t>
    </r>
  </si>
  <si>
    <r>
      <rPr/>
      <t xml:space="preserve">The application shows one record:
</t>
    </r>
    <r>
      <rPr>
        <rFont val="Arial"/>
        <i/>
        <color rgb="FF2F5496"/>
        <sz val="10.0"/>
      </rPr>
      <t>Name: yearly evaluation
Period  1/1/2017 - 31/12/2017
Number of Evaluations: 1/2
Evaluator: Leader1
Be evaluated: johnson
Status: Processing</t>
    </r>
    <r>
      <rPr>
        <rFont val="Arial"/>
        <color rgb="FF000000"/>
        <sz val="10.0"/>
      </rPr>
      <t xml:space="preserve">
</t>
    </r>
  </si>
  <si>
    <r>
      <t xml:space="preserve">The application shows detail info
</t>
    </r>
    <r>
      <rPr>
        <i/>
        <color rgb="FF2F5496"/>
        <sz val="10.0"/>
      </rPr>
      <t>From: 1/1/2017 - to: 31/12/2017
Evaluation name: yearly evaluation
Be evaluated
Name : Johnson
Position: marketing staff
Objective
Criteria: Working time
Priority: 1
Point: 9
Note: non
Criteria: Skill
Priority: 5
Point: 9
Note: abc
Criteria: Communication
Priority: 2
Point: 8
Note: abc
Comment: very good</t>
    </r>
  </si>
  <si>
    <t xml:space="preserve">Login with employee role
acc: johnson1235
</t>
  </si>
  <si>
    <r>
      <t xml:space="preserve">The application shows one record
</t>
    </r>
    <r>
      <rPr>
        <i/>
        <color rgb="FF2F5496"/>
        <sz val="10.0"/>
      </rPr>
      <t>Name: yearly evaluation
Period  1/1/2017 - 31/12/2017
Status: Completed</t>
    </r>
    <r>
      <rPr>
        <sz val="10.0"/>
      </rPr>
      <t xml:space="preserve">
</t>
    </r>
  </si>
  <si>
    <r>
      <t xml:space="preserve">The application shows detail info
</t>
    </r>
    <r>
      <rPr>
        <i/>
        <color rgb="FF2F5496"/>
        <sz val="10.0"/>
      </rPr>
      <t>From: 1/1/2017 - to: 31/12/2017
Evaluation name: yearly evaluation
Be evaluated
Name : Johnson
Position: marketing staff
Objective
Criteria: Working time
Priority: 1
Point: 9
Note: non
Criteria: Skill
Priority: 5
Point: 9
Note: abc
Criteria: Communication
Priority: 2
Point: 8
Note: abc
Comment: very good</t>
    </r>
  </si>
  <si>
    <t xml:space="preserve">Login with employee role
acc: leader11238
</t>
  </si>
  <si>
    <t>Employee evaluate leader</t>
  </si>
  <si>
    <r>
      <t xml:space="preserve">Create a </t>
    </r>
    <r>
      <rPr>
        <sz val="10.0"/>
      </rPr>
      <t>Evaluation</t>
    </r>
  </si>
  <si>
    <t>Login with HR acc
acc: Hr</t>
  </si>
  <si>
    <t>Verify that the user can create a Evaluation</t>
  </si>
  <si>
    <r>
      <t xml:space="preserve">1. Go to Evaluation screen
2. Tap on Create button
3. Input info of Evaluation
</t>
    </r>
    <r>
      <rPr>
        <i/>
        <color rgb="FF2F5496"/>
        <sz val="10.0"/>
      </rPr>
      <t xml:space="preserve">From: 1/1/2017 To: 31/12/2017
Evaluation name:yearly evaluation
</t>
    </r>
    <r>
      <rPr>
        <sz val="10.0"/>
      </rPr>
      <t>4. Choose/ add criteria</t>
    </r>
    <r>
      <rPr>
        <i/>
        <color rgb="FF2F5496"/>
        <sz val="10.0"/>
      </rPr>
      <t xml:space="preserve">
Criteria: Working time
Priority: 1
Point: 
Note: non
Criteria: Skill
Priority: 5
Point: 
Note: abc
Criteria: Communication
Priority: 5
Point: 
Note: abc
</t>
    </r>
    <r>
      <rPr>
        <sz val="10.0"/>
      </rPr>
      <t xml:space="preserve">
</t>
    </r>
    <r>
      <rPr>
        <color rgb="FF2F5496"/>
        <sz val="10.0"/>
      </rPr>
      <t>Evaluator: marry1234
Be evaluated:  leader1
---
Evaluator: emp
Be evaluated:  leader1</t>
    </r>
    <r>
      <rPr>
        <sz val="10.0"/>
      </rPr>
      <t xml:space="preserve">
6. Tap on Save and Publish button </t>
    </r>
  </si>
  <si>
    <r>
      <t xml:space="preserve">At step 4: New row was added in the Evaluation
At step 7: the draft evaluation with three criterias was created
The new Evaluation will display in the list with draft status
</t>
    </r>
    <r>
      <rPr>
        <i/>
        <color rgb="FF2F5496"/>
        <sz val="10.0"/>
      </rPr>
      <t>Name: yearly evaluation
Period  1/1/2017 - 31/12/2017
Number of Evaluations: 0/2
Status: Processing</t>
    </r>
    <r>
      <rPr>
        <sz val="10.0"/>
      </rPr>
      <t xml:space="preserve">
</t>
    </r>
  </si>
  <si>
    <r>
      <rPr/>
      <t xml:space="preserve">View detail of a </t>
    </r>
    <r>
      <rPr>
        <rFont val="Arial"/>
        <b/>
        <color rgb="FF000000"/>
        <sz val="10.0"/>
      </rPr>
      <t>Evaluation</t>
    </r>
    <r>
      <rPr>
        <rFont val="Arial"/>
        <color rgb="FF000000"/>
        <sz val="10.0"/>
      </rPr>
      <t xml:space="preserve"> </t>
    </r>
  </si>
  <si>
    <t xml:space="preserve">Verify that the user can view detail of a evaluation </t>
  </si>
  <si>
    <r>
      <rPr/>
      <t>1. Go to Evaluation screen
2. Tap on the View Detail button on the Evaluation that user want to view</t>
    </r>
    <r>
      <rPr>
        <rFont val="Arial"/>
        <i/>
        <color rgb="FF2F5496"/>
        <sz val="10.0"/>
      </rPr>
      <t xml:space="preserve">
</t>
    </r>
  </si>
  <si>
    <r>
      <t xml:space="preserve">The Evaluation screen display with the list
</t>
    </r>
    <r>
      <rPr>
        <i/>
        <color rgb="FF2F5496"/>
        <sz val="10.0"/>
      </rPr>
      <t>Name: yearly evaluation
Period  1/1/2017 - 31/12/2017
Number of Evaluations: 0/2
Status: Processing</t>
    </r>
  </si>
  <si>
    <t>Login with employee account
Marry1234</t>
  </si>
  <si>
    <r>
      <rPr/>
      <t xml:space="preserve">The application shows two record:
</t>
    </r>
    <r>
      <rPr>
        <rFont val="Arial"/>
        <i/>
        <color rgb="FF2F5496"/>
        <sz val="10.0"/>
      </rPr>
      <t>Name: yearly evaluation
Period  1/1/2017 - 31/12/2017
Number of Evaluations: 0/2
Status: Processing</t>
    </r>
  </si>
  <si>
    <t xml:space="preserve">Login with Employee account
emp1241
</t>
  </si>
  <si>
    <r>
      <rPr/>
      <t xml:space="preserve">The application shows two record:
</t>
    </r>
    <r>
      <rPr>
        <rFont val="Arial"/>
        <i/>
        <color rgb="FF2F5496"/>
        <sz val="10.0"/>
      </rPr>
      <t>Name: yearly evaluation
Period  1/1/2017 - 31/12/2017
Number of Evaluations: 0/2
Status: Processing</t>
    </r>
  </si>
  <si>
    <t>Login with employee account
marry1234</t>
  </si>
  <si>
    <r>
      <rPr/>
      <t xml:space="preserve">1. Go to Evaluation
2. Click Assigned evaluation
3. Click implement " </t>
    </r>
    <r>
      <rPr>
        <rFont val="Arial"/>
        <i/>
        <color rgb="FF2F5496"/>
        <sz val="10.0"/>
      </rPr>
      <t>yearly evaluation</t>
    </r>
  </si>
  <si>
    <r>
      <rPr/>
      <t xml:space="preserve">The application shows implement screen
</t>
    </r>
    <r>
      <rPr>
        <rFont val="Arial"/>
        <i/>
        <color rgb="FF2F5496"/>
        <sz val="10.0"/>
      </rPr>
      <t>Name: yearly evaluation
Period  1/1/2017 - 31/12/2017
Be evaluated
Name : leader
Position: delivery leader
Criteria: Working time
Priority: 1
Point: 
Note: non
Criteria: Skill
Priority: 5
Point: 
Note: abc
Criteria: Communication
Priority: 2
Point: 
Note: abc
Textbox Comment</t>
    </r>
    <r>
      <rPr>
        <rFont val="Arial"/>
        <color rgb="FF000000"/>
        <sz val="10.0"/>
      </rPr>
      <t xml:space="preserve">
</t>
    </r>
  </si>
  <si>
    <r>
      <rPr/>
      <t xml:space="preserve">4. Input point
</t>
    </r>
    <r>
      <rPr>
        <rFont val="Arial"/>
        <i/>
        <color rgb="FF2F5496"/>
        <sz val="10.0"/>
      </rPr>
      <t>Criteria: Working time
Point: 9
Criteria: skill
Point: 9
Criteria: Communication
Point: 8
Comment: Very good</t>
    </r>
    <r>
      <rPr>
        <rFont val="Arial"/>
        <color rgb="FF000000"/>
        <sz val="10.0"/>
      </rPr>
      <t xml:space="preserve">
5. Click send</t>
    </r>
  </si>
  <si>
    <r>
      <rPr/>
      <t xml:space="preserve">1. Go to Evaluation
2. Click Assigned evaluation
3. Click implement " </t>
    </r>
    <r>
      <rPr>
        <rFont val="Arial"/>
        <i/>
        <color rgb="FF2F5496"/>
        <sz val="10.0"/>
      </rPr>
      <t>yearly evaluation</t>
    </r>
  </si>
  <si>
    <r>
      <rPr/>
      <t xml:space="preserve">The application shows implement screen
</t>
    </r>
    <r>
      <rPr>
        <rFont val="Arial"/>
        <i/>
        <color rgb="FF2F5496"/>
        <sz val="10.0"/>
      </rPr>
      <t>Name: yearly evaluation
Period  1/1/2017 - 31/12/2017
Be evaluated
Name : leader
Position: delivery leader
Criteria: Working time
Priority: 1
Point: 
Note: non
Criteria: Skill
Priority: 5
Point: 
Note: abc
Criteria: Communication
Priority: 2
Point: 
Note: abc
Textbox Comment</t>
    </r>
    <r>
      <rPr>
        <rFont val="Arial"/>
        <color rgb="FF000000"/>
        <sz val="10.0"/>
      </rPr>
      <t xml:space="preserve">
</t>
    </r>
  </si>
  <si>
    <r>
      <t xml:space="preserve">4. Input point
</t>
    </r>
    <r>
      <rPr>
        <i/>
        <color rgb="FF2F5496"/>
        <sz val="10.0"/>
      </rPr>
      <t>Criteria: Working time
Point: 9
Criteria: skill
Point: 9
Criteria: Communication
Point: 10
Comment: Very good</t>
    </r>
    <r>
      <rPr>
        <sz val="10.0"/>
      </rPr>
      <t xml:space="preserve">
5. Click send</t>
    </r>
  </si>
  <si>
    <t>Login with Leader account
marry1234</t>
  </si>
  <si>
    <r>
      <rPr/>
      <t xml:space="preserve">The result is displayed, detail
</t>
    </r>
    <r>
      <rPr>
        <rFont val="Arial"/>
        <i/>
        <color rgb="FF2F5496"/>
        <sz val="10.0"/>
      </rPr>
      <t>From: 1/1/2017 - to: 31/12/2017
Evaluation name: yearly evaluation
Be evaluated
Name : leader
Position: delivery leader
Objective
Criteria: Working time
Priority: 1
Point: 9
Note: non
Criteria: Skill
Priority: 5
Point: 9
Note: abc
Criteria: Communication
Priority: 2
Point: 8
Note: abc
Comment: very good</t>
    </r>
  </si>
  <si>
    <t>Login with hr acc
acc: hr</t>
  </si>
  <si>
    <t>Verify that the user can view result is sent from employee</t>
  </si>
  <si>
    <r>
      <t xml:space="preserve">The application shows two record:
</t>
    </r>
    <r>
      <rPr>
        <i/>
        <color rgb="FF2F5496"/>
        <sz val="10.0"/>
      </rPr>
      <t>Name: yearly evaluation
Period  1/1/2017 - 31/12/2017
Number of Evaluations: 2/2
Evaluator: Marry
Be evaluated: leader1
Status: Processing
---
Name: yearly evaluation
Period  1/1/2017 - 31/12/2017
Number of Evaluations: 2/2
Evaluator: emp
Be evaluated: leader1
Status: Processing</t>
    </r>
    <r>
      <rPr>
        <sz val="10.0"/>
      </rPr>
      <t xml:space="preserve">
</t>
    </r>
  </si>
  <si>
    <t>3. Click view detail at first</t>
  </si>
  <si>
    <r>
      <t xml:space="preserve">The application shows detail info
</t>
    </r>
    <r>
      <rPr>
        <i/>
        <color rgb="FF2F5496"/>
        <sz val="10.0"/>
      </rPr>
      <t>From: 1/1/2017 - to: 31/12/2017
Evaluation name: yearly evaluation
Be evaluated
Name : Johnson
Position: marketing staff
Objective
Criteria: Working time
Priority: 1
Point: 9
Note: non
Criteria: Skill
Priority: 5
Point: 9
Note: abc
Criteria: Communication
Priority: 2
Point: 10
Note: abc
Comment: very good</t>
    </r>
  </si>
  <si>
    <t xml:space="preserve">1. Go to Evaluation
2. Click Evaluation result
3. Check checkbox that you need ( marry)
4. Click send result
</t>
  </si>
  <si>
    <t>5. Repeat step from 1-4 to send the result of emp1241</t>
  </si>
  <si>
    <t xml:space="preserve">The result is sent to employee
</t>
  </si>
  <si>
    <t xml:space="preserve">Login with employee role
acc: leader11237
</t>
  </si>
  <si>
    <r>
      <t xml:space="preserve">The application shows two records
</t>
    </r>
    <r>
      <rPr>
        <i/>
        <color rgb="FF2F5496"/>
        <sz val="10.0"/>
      </rPr>
      <t xml:space="preserve">Name: yearly evaluation
Period  1/1/2017 - 31/12/2017
Status: Completed
---
Name: yearly evaluation
Period  1/1/2017 - 31/12/2017
Status: Completed
</t>
    </r>
    <r>
      <rPr>
        <sz val="10.0"/>
      </rPr>
      <t xml:space="preserve">
</t>
    </r>
  </si>
  <si>
    <t>3. Click detail first record</t>
  </si>
  <si>
    <r>
      <t xml:space="preserve">The application shows detail info
</t>
    </r>
    <r>
      <rPr>
        <i/>
        <color rgb="FF2F5496"/>
        <sz val="10.0"/>
      </rPr>
      <t>From: 1/1/2017 - to: 31/12/2017
Evaluation name: yearly evaluation
Be evaluated
Name : leader
Position: delivery leader
Objective
Criteria: Working time
Priority: 1
Point: 9
Note: non
Criteria: Skill
Priority: 5
Point: 9
Note: abc
Criteria: Communication
Priority: 2
Point: 8
Note: abc
Comment: very good</t>
    </r>
  </si>
  <si>
    <t>4. Click detail second record</t>
  </si>
  <si>
    <r>
      <rPr>
        <color rgb="FF000000"/>
      </rPr>
      <t>The application shows detail info</t>
    </r>
    <r>
      <t xml:space="preserve">
From: 1/1/2017 - to: 31/12/2017
Evaluation name: yearly evaluation
Be evaluated
Name : leader
Position: delivery leader
Objective
Criteria: Working time
Priority: 1
Point: 9
Note: non
Criteria: Skill
Priority: 5
Point: 9
Note: abc
Criteria: Communication
Priority: 2
Point: 10
Note: abc
Comment: very good</t>
    </r>
  </si>
  <si>
    <r>
      <rPr/>
      <t xml:space="preserve">Create </t>
    </r>
    <r>
      <rPr>
        <rFont val="Arial"/>
        <b/>
        <color rgb="FF000000"/>
        <sz val="10.0"/>
      </rPr>
      <t>Evaluation</t>
    </r>
  </si>
  <si>
    <t>Verify that the user can create a Evaluation for KPI</t>
  </si>
  <si>
    <r>
      <rPr/>
      <t>1. Go to Evaluation screen
2. Tap on Create button
3. Input text as same as KPI name</t>
    </r>
    <r>
      <rPr>
        <rFont val="Arial"/>
        <i/>
        <color rgb="FF2F5496"/>
        <sz val="10.0"/>
      </rPr>
      <t xml:space="preserve">
Evaluation name: KPI of the first quarter 123</t>
    </r>
    <r>
      <rPr>
        <rFont val="Arial"/>
        <color rgb="FF000000"/>
        <sz val="10.0"/>
      </rPr>
      <t xml:space="preserve">
4. Tap on Save and Publish button </t>
    </r>
  </si>
  <si>
    <r>
      <rPr/>
      <t xml:space="preserve">3. The application shows automaticaly criterias of KPI is chosen
</t>
    </r>
    <r>
      <rPr>
        <rFont val="Arial"/>
        <i/>
        <color rgb="FF2F5496"/>
        <sz val="10.0"/>
      </rPr>
      <t>- From: 01/01/2018
- To: 31/03/2018
- Name: KPI of the first quarter 123
- Department: Delivery room
- Objective
1. Criteria 1 
weight : 30%
Target: 1000
Note
1. Criteria 2 
weight : 70%
Target: 1000
Note
Assignee
Evaluator: leader1
Be evalaued: Marry</t>
    </r>
  </si>
  <si>
    <t>5. all flows operations are similar to the type of assessment on</t>
  </si>
  <si>
    <t>The application handles and displays the correct data</t>
  </si>
  <si>
    <t>12. Promotion</t>
  </si>
  <si>
    <t>End old contract and sign contract with new contract type</t>
  </si>
  <si>
    <t>End contract from contract list</t>
  </si>
  <si>
    <t>Verify that the user can end the contract from contract list</t>
  </si>
  <si>
    <t>1. Go to contract
2. Click End contract at record Marry1234</t>
  </si>
  <si>
    <t>The contract is changed from Open to End</t>
  </si>
  <si>
    <t>Create a new  contract</t>
  </si>
  <si>
    <t>Verify that the user can create a new contract</t>
  </si>
  <si>
    <r>
      <rPr/>
      <t xml:space="preserve">1. Go to "Contract"
2. Click "Create"
3. Input data
</t>
    </r>
    <r>
      <rPr>
        <rFont val="Arial"/>
        <i/>
        <color rgb="FF2F5496"/>
        <sz val="10.0"/>
      </rPr>
      <t>ContactNo: HD07
Type: Full-time contract
Start: 01/03/2018
End: 28/02/2019
Emp Name: marry
Code: 1234
Job title: sale staff
Salary: 1200$</t>
    </r>
    <r>
      <rPr>
        <rFont val="Arial"/>
        <sz val="10.0"/>
      </rPr>
      <t xml:space="preserve">
4. attach file contract
</t>
    </r>
    <r>
      <rPr>
        <rFont val="Arial"/>
        <i/>
        <color rgb="FF2F5496"/>
        <sz val="10.0"/>
      </rPr>
      <t>01032018_1234_marry_contract_docx</t>
    </r>
    <r>
      <rPr>
        <rFont val="Arial"/>
        <sz val="10.0"/>
      </rPr>
      <t xml:space="preserve">
5. Choose approver 
</t>
    </r>
    <r>
      <rPr>
        <rFont val="Arial"/>
        <i/>
        <color rgb="FF2F5496"/>
        <sz val="10.0"/>
      </rPr>
      <t xml:space="preserve">Manger1
</t>
    </r>
    <r>
      <rPr>
        <rFont val="Arial"/>
        <sz val="10.0"/>
      </rPr>
      <t xml:space="preserve">6. Click save and send
</t>
    </r>
  </si>
  <si>
    <r>
      <rPr/>
      <t xml:space="preserve">The contract list of HR role has one record is created
</t>
    </r>
    <r>
      <rPr>
        <rFont val="Arial"/>
        <i/>
        <color rgb="FF2F5496"/>
        <sz val="10.0"/>
      </rPr>
      <t>Full name: Marry
Start: 01/03/2018
End: 28/02/2019
Position: Sale staff
Type: Full-time contract
Signed By:
Signed date
Status: Pending
No: HD07
Attachment: yes</t>
    </r>
    <r>
      <rPr>
        <rFont val="Arial"/>
        <sz val="10.0"/>
      </rPr>
      <t xml:space="preserve">
Action: delete, edit is enabled 
The contract list has one record: marry</t>
    </r>
  </si>
  <si>
    <t>Approved contract</t>
  </si>
  <si>
    <t xml:space="preserve">Login on web with manager acc
acc: manager1138 </t>
  </si>
  <si>
    <t>Verify that the user can approved a contract</t>
  </si>
  <si>
    <t>1. Go to Contract
2. Click Approval
3. Click approve
4. Click yes</t>
  </si>
  <si>
    <t>The contract is changed from Pending to Open</t>
  </si>
  <si>
    <t>Login on web with acc
acc:Marry1234</t>
  </si>
  <si>
    <r>
      <rPr/>
      <t xml:space="preserve">Contract list has added one record:
</t>
    </r>
    <r>
      <rPr>
        <rFont val="Arial"/>
        <i/>
        <color rgb="FF2F5496"/>
        <sz val="10.0"/>
      </rPr>
      <t>Full name: Marry
Start: 01/03/2018
End: 28/02/2019
Position: Sale staff
Type: Full-time contract
Signed By:
Signed date
Status: Pending
No: HD07
Attachment: yes</t>
    </r>
  </si>
  <si>
    <t>View leave balance</t>
  </si>
  <si>
    <t>Verify that the user can has a vacation when become full-time contract</t>
  </si>
  <si>
    <t>1. Go to Time off
2. Click Create time off
3. Observer Leave balance</t>
  </si>
  <si>
    <t>The application shows label "compensatory leaves (Days): 9 days ; Leave usage( days): 0  ; Leave Balance (Days): 9 "</t>
  </si>
  <si>
    <t>View allowance</t>
  </si>
  <si>
    <t>Verify the user can has allowance when become full-time contract</t>
  </si>
  <si>
    <t>1. Go to Profile
2. Click  Salary tab
3. Observer Allowance group</t>
  </si>
  <si>
    <t>The application shows default allowance by configuration of HR</t>
  </si>
  <si>
    <t>View deduction</t>
  </si>
  <si>
    <t>Verify the user can has deduction when become full-time contract</t>
  </si>
  <si>
    <t>1. Go to Profile
2. Click  Salary tab
3. Observer deduction group</t>
  </si>
  <si>
    <t>The application shows default deduction by configuration of HR</t>
  </si>
  <si>
    <t>Contract renewal</t>
  </si>
  <si>
    <t>Warning about nearing expiration of contract</t>
  </si>
  <si>
    <t>Verify that the user can view warnong about nearing expiration of the contract</t>
  </si>
  <si>
    <t>1. Go to contract
2. Observer contract list</t>
  </si>
  <si>
    <t>Contracts near expiration is marked by red color</t>
  </si>
  <si>
    <t>Renew contract</t>
  </si>
  <si>
    <t>Verify that the user can renew  a new contract by one step</t>
  </si>
  <si>
    <t xml:space="preserve">1. Go to "Contract"
2. In contract list, click Clone at HD06
</t>
  </si>
  <si>
    <r>
      <rPr/>
      <t xml:space="preserve">The application will clone a new contract  with information identical to the original contract, but start time and end time is calutated again by time of original contract,
</t>
    </r>
    <r>
      <rPr>
        <rFont val="Arial"/>
        <i/>
        <color rgb="FF2F5496"/>
        <sz val="10.0"/>
      </rPr>
      <t>ContractNo: HD08
Type: Part-time contract
Start: 01/07/2018
End: 31/12/2018
Emp Name: employee
Code: 1241
Job title: marketing
Salary: 1000$</t>
    </r>
    <r>
      <rPr>
        <rFont val="Arial"/>
        <sz val="10.0"/>
      </rPr>
      <t xml:space="preserve">
</t>
    </r>
  </si>
  <si>
    <t>3. Click save and send</t>
  </si>
  <si>
    <t>A contract in pending status is created successful</t>
  </si>
  <si>
    <t>1. Go to contract</t>
  </si>
  <si>
    <t>HD08 is displayed in contract list
HD06 become old contract and is displayed in contract history</t>
  </si>
  <si>
    <t>Career path</t>
  </si>
  <si>
    <t>Create carree path for a position</t>
  </si>
  <si>
    <t>Verify that the user can create a Career path for a positon</t>
  </si>
  <si>
    <r>
      <rPr/>
      <t>1. Go to Configuration
2. Click Career path
3. Choose position
1.</t>
    </r>
    <r>
      <rPr>
        <rFont val="Arial"/>
        <i/>
        <color rgb="FF2F5496"/>
        <sz val="10.0"/>
      </rPr>
      <t xml:space="preserve"> Sale staff</t>
    </r>
    <r>
      <rPr>
        <rFont val="Arial"/>
        <color rgb="FF000000"/>
        <sz val="10.0"/>
      </rPr>
      <t xml:space="preserve">
</t>
    </r>
    <r>
      <rPr>
        <rFont val="Arial"/>
        <i/>
        <color rgb="FF2F5496"/>
        <sz val="10.0"/>
      </rPr>
      <t>Description
- skill A
- skill B
- Skill C
2. Sale leader
- skill A1
- skill B1
- Skill C1
- other
3. Sale mananger 
- skill A2</t>
    </r>
    <r>
      <rPr>
        <rFont val="Arial"/>
        <color rgb="FF000000"/>
        <sz val="10.0"/>
      </rPr>
      <t xml:space="preserve">
</t>
    </r>
    <r>
      <rPr>
        <rFont val="Arial"/>
        <i/>
        <color rgb="FF2F5496"/>
        <sz val="10.0"/>
      </rPr>
      <t>- other</t>
    </r>
    <r>
      <rPr>
        <rFont val="Arial"/>
        <color rgb="FF000000"/>
        <sz val="10.0"/>
      </rPr>
      <t xml:space="preserve">
4. Click Save</t>
    </r>
  </si>
  <si>
    <r>
      <rPr/>
      <t xml:space="preserve">A Career path is created 
</t>
    </r>
    <r>
      <rPr>
        <rFont val="Arial"/>
        <i/>
        <color rgb="FF2F5496"/>
        <sz val="10.0"/>
      </rPr>
      <t>Name: Sale staff
Create Date: current date</t>
    </r>
  </si>
  <si>
    <t>Edit carree path for a position</t>
  </si>
  <si>
    <t>Verify that the user can Edit a Career path for a positon</t>
  </si>
  <si>
    <r>
      <rPr/>
      <t xml:space="preserve">1. Go to Configuration, click Career path
2. Click Edit 
3. Edit data
</t>
    </r>
    <r>
      <rPr>
        <rFont val="Arial"/>
        <i/>
        <color rgb="FF2F5496"/>
        <sz val="10.0"/>
      </rPr>
      <t>Description
- skill A
- skill B
- Skill C
2. Sale leader
- skill A1
- skill B1
- Skill C1
- other
3. Sale mananger 
- skill A2
- other</t>
    </r>
    <r>
      <rPr>
        <rFont val="Arial"/>
        <color rgb="FF000000"/>
        <sz val="10.0"/>
      </rPr>
      <t xml:space="preserve">
4. Click Save</t>
    </r>
  </si>
  <si>
    <r>
      <rPr/>
      <t xml:space="preserve">A Career path is created 
</t>
    </r>
    <r>
      <rPr>
        <rFont val="Arial"/>
        <i/>
        <color rgb="FF2F5496"/>
        <sz val="10.0"/>
      </rPr>
      <t>Name: Sale staff
Create Date: current date</t>
    </r>
  </si>
  <si>
    <t>View detail carree path for a position</t>
  </si>
  <si>
    <t>Verify that the user can view detail  a Career path for a positon</t>
  </si>
  <si>
    <t>1. Go to Configuration
2. Click Career path
3. Click View</t>
  </si>
  <si>
    <t>A Career path is created 
Name: Sale staff
Create Date: current date</t>
  </si>
  <si>
    <t>View list of Career path for all postions</t>
  </si>
  <si>
    <t>verify that the user can view the list of Career path of all postions</t>
  </si>
  <si>
    <t>1. Go to Configuration
2. Click Career path</t>
  </si>
  <si>
    <t>The application shows Career path list</t>
  </si>
  <si>
    <t>View carree path for a position</t>
  </si>
  <si>
    <t>Login with employee acc
emp1241</t>
  </si>
  <si>
    <t>Verify that the user can view their Career path</t>
  </si>
  <si>
    <t>1. Go to profile
2. In more tab
3. Observer Career path</t>
  </si>
  <si>
    <t xml:space="preserve">The application shows Career path info match with employee position
</t>
  </si>
  <si>
    <t>delete carree path for a position</t>
  </si>
  <si>
    <t>Verify that the user can delete a Career path for a positon</t>
  </si>
  <si>
    <t>1. Go to Configuration, 
2. click Career path
3. Click delete</t>
  </si>
  <si>
    <t>A Career path is delete from ist</t>
  </si>
  <si>
    <t>Working experience</t>
  </si>
  <si>
    <t>Change position of employee</t>
  </si>
  <si>
    <t>Verify that the user can change position of the employee</t>
  </si>
  <si>
    <t>1. Go to employee
2. Click employee list
3. Edit employee leader1
4. Change postion from Delivery leader --&gt; Delivery manager 
5. Save</t>
  </si>
  <si>
    <r>
      <rPr/>
      <t xml:space="preserve">The job info of the emloyee will be updated
The work experience info will be add a new record
</t>
    </r>
    <r>
      <rPr>
        <rFont val="Arial"/>
        <i/>
        <color rgb="FF2F5496"/>
        <sz val="10.0"/>
      </rPr>
      <t>Time: change date --present
Positon: Delivery manager 
Acttach: No</t>
    </r>
  </si>
  <si>
    <t>Edit work experience</t>
  </si>
  <si>
    <t>Verify that the user can edit/ add info in work experience</t>
  </si>
  <si>
    <r>
      <rPr/>
      <t xml:space="preserve">1. Go to employee
2. Click employee list
3. Edit employee leader1
4. At Job tab, work experience,
</t>
    </r>
    <r>
      <rPr>
        <rFont val="Arial"/>
        <i/>
        <color rgb="FF2F5496"/>
        <sz val="10.0"/>
      </rPr>
      <t xml:space="preserve">-  HR attach file 
- Change time : change date - present --&gt; </t>
    </r>
    <r>
      <rPr>
        <rFont val="Arial"/>
        <color rgb="FF000000"/>
        <sz val="10.0"/>
      </rPr>
      <t>04/2018 - Present 
5. Save</t>
    </r>
  </si>
  <si>
    <t>The work experience info will be add a new record
Time: change date --&gt; present
Positon: Delivery manager 
Acttach: file name</t>
  </si>
  <si>
    <t>6. Download attach file</t>
  </si>
  <si>
    <t>Download and open successful 
The content and format of attach file correctly and fully</t>
  </si>
  <si>
    <t>View my work experience</t>
  </si>
  <si>
    <t>Login with employee acc
Leader11237</t>
  </si>
  <si>
    <t>Verify that the user can view work experience</t>
  </si>
  <si>
    <t>1. Go to profile
2. Click Job
3. Observer work experience</t>
  </si>
  <si>
    <r>
      <rPr/>
      <t xml:space="preserve">The application shows two records:
</t>
    </r>
    <r>
      <rPr>
        <rFont val="Arial"/>
        <i/>
        <color rgb="FF2F5496"/>
        <sz val="10.0"/>
      </rPr>
      <t xml:space="preserve">01/01/2018 - 03/2018: delivery leader
04/2018 - present: delivery manager </t>
    </r>
  </si>
  <si>
    <t>View  work experience</t>
  </si>
  <si>
    <t>1. Go to employee
2. Click employee list
3. Edit employee leader1
4. At Job tab, observer work experience</t>
  </si>
  <si>
    <r>
      <rPr/>
      <t xml:space="preserve">The application shows two records:
</t>
    </r>
    <r>
      <rPr>
        <rFont val="Arial"/>
        <i/>
        <color rgb="FF2F5496"/>
        <sz val="10.0"/>
      </rPr>
      <t xml:space="preserve">01/01/2018 - 03/2018: delivery leader
04/2018 - present: delivery manager </t>
    </r>
  </si>
  <si>
    <t>Checkout the system ( Failed, quit the job)</t>
  </si>
  <si>
    <t xml:space="preserve">End contract when the employee check out </t>
  </si>
  <si>
    <t>Verify that the user can end contract when the emploee checkout</t>
  </si>
  <si>
    <t>1. Go to Contract
2. In contract list, click end
3. Confirm Yes</t>
  </si>
  <si>
    <t>The contract is changed from Open to Close</t>
  </si>
  <si>
    <t>Lock acc when the employee checkout</t>
  </si>
  <si>
    <t>Login on web with admin role
acc: admin
Assuming that, manager2 checkout the system</t>
  </si>
  <si>
    <t>verify that the user can lock acc when the employee checkout</t>
  </si>
  <si>
    <t>1. Go to User
2. Click lock at record you need ( manager2)
3. Confirm yes</t>
  </si>
  <si>
    <t xml:space="preserve">2. The confirm popup is displayed
3. Acc is locked
</t>
  </si>
  <si>
    <t>Login after the account is locked</t>
  </si>
  <si>
    <t>Login on mobile and web with acc
manager 2</t>
  </si>
  <si>
    <t>Verify that the user can not login with acc is locked</t>
  </si>
  <si>
    <t>1. Login</t>
  </si>
  <si>
    <t>The application shows error message
User can not login into the system</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</si>
</sst>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rgb="FF000000"/>
      <name val="Calibri"/>
    </font>
    <font>
      <sz val="10.0"/>
      <name val="Arial"/>
    </font>
    <font>
      <b/>
      <sz val="14.0"/>
      <name val="Arial"/>
    </font>
    <font>
      <b/>
      <sz val="14.0"/>
      <name val="Times New Roman"/>
    </font>
    <font>
      <b/>
      <sz val="12.0"/>
      <name val="Arial"/>
    </font>
    <font>
      <b/>
      <sz val="20.0"/>
      <name val="Arial"/>
    </font>
    <font/>
    <font>
      <b/>
      <sz val="10.0"/>
      <name val="Arial"/>
    </font>
    <font>
      <sz val="18.0"/>
      <name val="Times New Roman"/>
    </font>
    <font>
      <b/>
      <sz val="24.0"/>
      <name val="Arial"/>
    </font>
    <font>
      <b/>
      <sz val="22.0"/>
      <name val="Arial"/>
    </font>
    <font>
      <sz val="20.0"/>
      <name val="Arial"/>
    </font>
    <font>
      <sz val="11.0"/>
      <color rgb="FF17365D"/>
      <name val="Tahoma"/>
    </font>
    <font>
      <b/>
      <i/>
      <sz val="10.0"/>
      <name val="Arial"/>
    </font>
    <font>
      <b/>
      <sz val="12.0"/>
      <color rgb="FF000000"/>
      <name val="Arial"/>
    </font>
    <font>
      <b/>
      <i/>
      <sz val="11.0"/>
      <name val="Arial"/>
    </font>
    <font>
      <b/>
      <i/>
      <sz val="13.0"/>
      <name val="Arial"/>
    </font>
    <font>
      <i/>
      <sz val="10.0"/>
      <color rgb="FF2F5496"/>
      <name val="Arial"/>
    </font>
    <font>
      <sz val="10.0"/>
      <color rgb="FF2F5496"/>
      <name val="Arial"/>
    </font>
    <font>
      <b/>
      <i/>
      <sz val="11.0"/>
      <color rgb="FF000000"/>
      <name val="Arial"/>
    </font>
    <font>
      <sz val="10.0"/>
      <color rgb="FF000000"/>
      <name val="Arial"/>
    </font>
    <font>
      <b/>
      <sz val="11.0"/>
      <color rgb="FF000000"/>
      <name val="Arial"/>
    </font>
  </fonts>
  <fills count="10">
    <fill>
      <patternFill patternType="none"/>
    </fill>
    <fill>
      <patternFill patternType="lightGray"/>
    </fill>
    <fill>
      <patternFill patternType="solid">
        <fgColor rgb="FFFFFFFF"/>
        <bgColor rgb="FFFFFFFF"/>
      </patternFill>
    </fill>
    <fill>
      <patternFill patternType="solid">
        <fgColor rgb="FFDADADA"/>
        <bgColor rgb="FFDADADA"/>
      </patternFill>
    </fill>
    <fill>
      <patternFill patternType="solid">
        <fgColor rgb="FF9CC2E5"/>
        <bgColor rgb="FF9CC2E5"/>
      </patternFill>
    </fill>
    <fill>
      <patternFill patternType="solid">
        <fgColor rgb="FFCCFFCC"/>
        <bgColor rgb="FFCCFFCC"/>
      </patternFill>
    </fill>
    <fill>
      <patternFill patternType="solid">
        <fgColor rgb="FFF7CAAC"/>
        <bgColor rgb="FFF7CAAC"/>
      </patternFill>
    </fill>
    <fill>
      <patternFill patternType="solid">
        <fgColor rgb="FF00CCFF"/>
        <bgColor rgb="FF00CCFF"/>
      </patternFill>
    </fill>
    <fill>
      <patternFill patternType="solid">
        <fgColor rgb="FFFFE598"/>
        <bgColor rgb="FFFFE598"/>
      </patternFill>
    </fill>
    <fill>
      <patternFill patternType="solid">
        <fgColor rgb="FFD8D8D8"/>
        <bgColor rgb="FFD8D8D8"/>
      </patternFill>
    </fill>
  </fills>
  <borders count="37">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right/>
      <top/>
      <bottom/>
    </border>
    <border>
      <left style="thin">
        <color rgb="FF000000"/>
      </left>
      <right/>
      <top/>
      <bottom/>
    </border>
    <border>
      <left/>
      <top/>
      <bottom/>
    </border>
    <border>
      <right/>
      <top/>
      <bottom/>
    </border>
    <border>
      <left style="thin">
        <color rgb="FF000000"/>
      </left>
      <right style="thin">
        <color rgb="FF000000"/>
      </right>
      <top style="thin">
        <color rgb="FF000000"/>
      </top>
      <bottom style="thin">
        <color rgb="FF000000"/>
      </bottom>
    </border>
    <border>
      <left/>
      <right style="thin">
        <color rgb="FF000000"/>
      </right>
      <top/>
      <bottom/>
    </border>
    <border>
      <left style="thin">
        <color rgb="FF000000"/>
      </left>
    </border>
    <border>
      <right style="thin">
        <color rgb="FF000000"/>
      </right>
    </border>
    <border>
      <left style="thin">
        <color rgb="FF000000"/>
      </left>
      <top/>
      <bottom/>
    </border>
    <border>
      <top/>
      <bottom/>
    </border>
    <border>
      <right style="thin">
        <color rgb="FF000000"/>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bottom/>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bottom style="thin">
        <color rgb="FF000000"/>
      </bottom>
    </border>
    <border>
      <left style="thin">
        <color rgb="FF000000"/>
      </left>
      <right/>
      <top style="thin">
        <color rgb="FF000000"/>
      </top>
      <bottom style="thin">
        <color rgb="FF000000"/>
      </bottom>
    </border>
    <border>
      <left/>
      <right/>
      <top/>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right style="thin">
        <color rgb="FF000000"/>
      </right>
      <top style="thin">
        <color rgb="FF000000"/>
      </top>
      <bottom style="thin">
        <color rgb="FF000000"/>
      </bottom>
    </border>
    <border>
      <left/>
      <right style="thin">
        <color rgb="FF000000"/>
      </right>
      <top/>
      <bottom style="thin">
        <color rgb="FF000000"/>
      </bottom>
    </border>
    <border>
      <left style="thin">
        <color rgb="FF000000"/>
      </left>
      <top style="thin">
        <color rgb="FF000000"/>
      </top>
    </border>
    <border>
      <left style="thin">
        <color rgb="FF000000"/>
      </lef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s>
  <cellStyleXfs count="1">
    <xf borderId="0" fillId="0" fontId="0" numFmtId="0" applyAlignment="1" applyFont="1"/>
  </cellStyleXfs>
  <cellXfs count="164">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2" fillId="2" fontId="2" numFmtId="0" xfId="0" applyBorder="1" applyFont="1"/>
    <xf borderId="2" fillId="2" fontId="3" numFmtId="0" xfId="0" applyAlignment="1" applyBorder="1" applyFont="1">
      <alignment horizontal="left"/>
    </xf>
    <xf borderId="2" fillId="2" fontId="4" numFmtId="0" xfId="0" applyAlignment="1" applyBorder="1" applyFont="1">
      <alignment horizontal="center"/>
    </xf>
    <xf borderId="3" fillId="2" fontId="1" numFmtId="0" xfId="0" applyBorder="1" applyFont="1"/>
    <xf borderId="0" fillId="0" fontId="1" numFmtId="0" xfId="0" applyFont="1"/>
    <xf borderId="4" fillId="2" fontId="1" numFmtId="0" xfId="0" applyAlignment="1" applyBorder="1" applyFont="1">
      <alignment horizontal="center" shrinkToFit="0" vertical="center" wrapText="1"/>
    </xf>
    <xf borderId="4" fillId="2" fontId="1" numFmtId="0" xfId="0" applyAlignment="1" applyBorder="1" applyFont="1">
      <alignment shrinkToFit="0" vertical="center" wrapText="1"/>
    </xf>
    <xf borderId="5" fillId="2" fontId="1" numFmtId="0" xfId="0" applyBorder="1" applyFont="1"/>
    <xf borderId="4" fillId="2" fontId="1" numFmtId="0" xfId="0" applyBorder="1" applyFont="1"/>
    <xf borderId="6" fillId="2" fontId="5" numFmtId="0" xfId="0" applyAlignment="1" applyBorder="1" applyFont="1">
      <alignment shrinkToFit="0" vertical="center" wrapText="1"/>
    </xf>
    <xf borderId="4" fillId="2" fontId="3" numFmtId="0" xfId="0" applyBorder="1" applyFont="1"/>
    <xf borderId="7" fillId="0" fontId="6" numFmtId="0" xfId="0" applyBorder="1" applyFont="1"/>
    <xf borderId="4" fillId="2" fontId="1" numFmtId="0" xfId="0" applyAlignment="1" applyBorder="1" applyFont="1">
      <alignment vertical="center"/>
    </xf>
    <xf borderId="4" fillId="2" fontId="4" numFmtId="0" xfId="0" applyAlignment="1" applyBorder="1" applyFont="1">
      <alignment horizontal="center"/>
    </xf>
    <xf borderId="8" fillId="2" fontId="7" numFmtId="0" xfId="0" applyAlignment="1" applyBorder="1" applyFont="1">
      <alignment shrinkToFit="0" vertical="center" wrapText="1"/>
    </xf>
    <xf borderId="9" fillId="2" fontId="1" numFmtId="0" xfId="0" applyBorder="1" applyFont="1"/>
    <xf borderId="8" fillId="2" fontId="1" numFmtId="0" xfId="0" applyAlignment="1" applyBorder="1" applyFont="1">
      <alignment shrinkToFit="0" vertical="center" wrapText="1"/>
    </xf>
    <xf borderId="10" fillId="0" fontId="8" numFmtId="0" xfId="0" applyAlignment="1" applyBorder="1" applyFont="1">
      <alignment horizontal="center"/>
    </xf>
    <xf borderId="11" fillId="0" fontId="6" numFmtId="0" xfId="0" applyBorder="1" applyFont="1"/>
    <xf borderId="8" fillId="3" fontId="1" numFmtId="0" xfId="0" applyAlignment="1" applyBorder="1" applyFill="1" applyFont="1">
      <alignment shrinkToFit="0" vertical="center" wrapText="1"/>
    </xf>
    <xf borderId="12" fillId="2" fontId="9" numFmtId="0" xfId="0" applyAlignment="1" applyBorder="1" applyFont="1">
      <alignment horizontal="center" shrinkToFit="0" wrapText="1"/>
    </xf>
    <xf borderId="13" fillId="0" fontId="6" numFmtId="0" xfId="0" applyBorder="1" applyFont="1"/>
    <xf borderId="14" fillId="0" fontId="6" numFmtId="0" xfId="0" applyBorder="1" applyFont="1"/>
    <xf borderId="0" fillId="0" fontId="10" numFmtId="0" xfId="0" applyAlignment="1" applyFont="1">
      <alignment shrinkToFit="0" wrapText="1"/>
    </xf>
    <xf borderId="12" fillId="2" fontId="11" numFmtId="0" xfId="0" applyAlignment="1" applyBorder="1" applyFont="1">
      <alignment horizontal="center" shrinkToFit="0" wrapText="1"/>
    </xf>
    <xf borderId="15" fillId="4" fontId="7" numFmtId="0" xfId="0" applyAlignment="1" applyBorder="1" applyFill="1" applyFont="1">
      <alignment horizontal="center" shrinkToFit="0" vertical="center" wrapText="1"/>
    </xf>
    <xf borderId="4" fillId="2" fontId="7" numFmtId="0" xfId="0" applyBorder="1" applyFont="1"/>
    <xf borderId="0" fillId="0" fontId="12" numFmtId="0" xfId="0" applyFont="1"/>
    <xf borderId="5" fillId="2" fontId="7" numFmtId="0" xfId="0" applyBorder="1" applyFont="1"/>
    <xf borderId="16" fillId="0" fontId="6" numFmtId="0" xfId="0" applyBorder="1" applyFont="1"/>
    <xf borderId="4" fillId="2" fontId="1" numFmtId="0" xfId="0" applyAlignment="1" applyBorder="1" applyFont="1">
      <alignment horizontal="left"/>
    </xf>
    <xf borderId="9" fillId="2" fontId="7" numFmtId="0" xfId="0" applyBorder="1" applyFont="1"/>
    <xf borderId="5" fillId="2" fontId="13" numFmtId="0" xfId="0" applyAlignment="1" applyBorder="1" applyFont="1">
      <alignment horizontal="left"/>
    </xf>
    <xf borderId="11" fillId="0" fontId="1" numFmtId="0" xfId="0" applyBorder="1" applyFont="1"/>
    <xf borderId="17" fillId="5" fontId="1" numFmtId="0" xfId="0" applyAlignment="1" applyBorder="1" applyFill="1" applyFont="1">
      <alignment horizontal="center" shrinkToFit="0" vertical="center" wrapText="1"/>
    </xf>
    <xf quotePrefix="1" borderId="4" fillId="2" fontId="1" numFmtId="14" xfId="0" applyAlignment="1" applyBorder="1" applyFont="1" applyNumberFormat="1">
      <alignment horizontal="right"/>
    </xf>
    <xf borderId="18" fillId="3" fontId="14" numFmtId="0" xfId="0" applyAlignment="1" applyBorder="1" applyFont="1">
      <alignment shrinkToFit="0" vertical="center" wrapText="1"/>
    </xf>
    <xf borderId="4" fillId="2" fontId="1" numFmtId="14" xfId="0" applyAlignment="1" applyBorder="1" applyFont="1" applyNumberFormat="1">
      <alignment horizontal="right"/>
    </xf>
    <xf borderId="19" fillId="0" fontId="6" numFmtId="0" xfId="0" applyBorder="1" applyFont="1"/>
    <xf borderId="5" fillId="2" fontId="1" numFmtId="0" xfId="0" applyAlignment="1" applyBorder="1" applyFont="1">
      <alignment horizontal="left"/>
    </xf>
    <xf borderId="20" fillId="0" fontId="6" numFmtId="0" xfId="0" applyBorder="1" applyFont="1"/>
    <xf borderId="4" fillId="2" fontId="1" numFmtId="14" xfId="0" applyBorder="1" applyFont="1" applyNumberFormat="1"/>
    <xf borderId="21" fillId="3" fontId="14" numFmtId="0" xfId="0" applyAlignment="1" applyBorder="1" applyFont="1">
      <alignment shrinkToFit="0" vertical="center" wrapText="1"/>
    </xf>
    <xf borderId="22" fillId="3" fontId="14" numFmtId="0" xfId="0" applyAlignment="1" applyBorder="1" applyFont="1">
      <alignment shrinkToFit="0" vertical="center" wrapText="1"/>
    </xf>
    <xf borderId="23" fillId="2" fontId="1" numFmtId="0" xfId="0" applyBorder="1" applyFont="1"/>
    <xf borderId="24" fillId="6" fontId="15" numFmtId="0" xfId="0" applyAlignment="1" applyBorder="1" applyFill="1" applyFont="1">
      <alignment vertical="center"/>
    </xf>
    <xf borderId="21" fillId="6" fontId="15" numFmtId="0" xfId="0" applyAlignment="1" applyBorder="1" applyFont="1">
      <alignment vertical="center"/>
    </xf>
    <xf borderId="21" fillId="6" fontId="16" numFmtId="0" xfId="0" applyAlignment="1" applyBorder="1" applyFont="1">
      <alignment vertical="center"/>
    </xf>
    <xf borderId="25" fillId="2" fontId="1" numFmtId="0" xfId="0" applyBorder="1" applyFont="1"/>
    <xf borderId="22" fillId="6" fontId="16" numFmtId="0" xfId="0" applyAlignment="1" applyBorder="1" applyFont="1">
      <alignment vertical="center"/>
    </xf>
    <xf borderId="26" fillId="0" fontId="1" numFmtId="0" xfId="0" applyBorder="1" applyFont="1"/>
    <xf borderId="15" fillId="0" fontId="1" numFmtId="0" xfId="0" applyAlignment="1" applyBorder="1" applyFont="1">
      <alignment readingOrder="0" shrinkToFit="0" vertical="center" wrapText="1"/>
    </xf>
    <xf borderId="6" fillId="2" fontId="5" numFmtId="0" xfId="0" applyAlignment="1" applyBorder="1" applyFont="1">
      <alignment horizontal="center"/>
    </xf>
    <xf borderId="8" fillId="0" fontId="1" numFmtId="0" xfId="0" applyAlignment="1" applyBorder="1" applyFont="1">
      <alignment shrinkToFit="0" vertical="center" wrapText="1"/>
    </xf>
    <xf borderId="4" fillId="2" fontId="5" numFmtId="0" xfId="0" applyBorder="1" applyFont="1"/>
    <xf borderId="15" fillId="0" fontId="1" numFmtId="0" xfId="0" applyAlignment="1" applyBorder="1" applyFont="1">
      <alignment shrinkToFit="0" vertical="center" wrapText="1"/>
    </xf>
    <xf borderId="8" fillId="7" fontId="7" numFmtId="0" xfId="0" applyAlignment="1" applyBorder="1" applyFill="1" applyFont="1">
      <alignment horizontal="center" shrinkToFit="0" vertical="center" wrapText="1"/>
    </xf>
    <xf quotePrefix="1" borderId="4" fillId="2" fontId="1" numFmtId="14" xfId="0" applyAlignment="1" applyBorder="1" applyFont="1" applyNumberFormat="1">
      <alignment horizontal="center"/>
    </xf>
    <xf borderId="8" fillId="0" fontId="1" numFmtId="0" xfId="0" applyBorder="1" applyFont="1"/>
    <xf borderId="8" fillId="5" fontId="1" numFmtId="0" xfId="0" applyAlignment="1" applyBorder="1" applyFont="1">
      <alignment vertical="center"/>
    </xf>
    <xf borderId="8" fillId="2" fontId="1" numFmtId="0" xfId="0" applyAlignment="1" applyBorder="1" applyFont="1">
      <alignment vertical="center"/>
    </xf>
    <xf borderId="8" fillId="0" fontId="1" numFmtId="0" xfId="0" applyAlignment="1" applyBorder="1" applyFont="1">
      <alignment horizontal="left"/>
    </xf>
    <xf borderId="8" fillId="0" fontId="1" numFmtId="0" xfId="0" applyAlignment="1" applyBorder="1" applyFont="1">
      <alignment horizontal="center"/>
    </xf>
    <xf borderId="8" fillId="0" fontId="1" numFmtId="0" xfId="0" applyAlignment="1" applyBorder="1" applyFont="1">
      <alignment readingOrder="0" shrinkToFit="0" vertical="center" wrapText="1"/>
    </xf>
    <xf borderId="8" fillId="2" fontId="1" numFmtId="0" xfId="0" applyAlignment="1" applyBorder="1" applyFont="1">
      <alignment readingOrder="0" shrinkToFit="0" vertical="center" wrapText="1"/>
    </xf>
    <xf borderId="27" fillId="0" fontId="1" numFmtId="0" xfId="0" applyAlignment="1" applyBorder="1" applyFont="1">
      <alignment shrinkToFit="0" vertical="center" wrapText="1"/>
    </xf>
    <xf borderId="15" fillId="2" fontId="1" numFmtId="0" xfId="0" applyAlignment="1" applyBorder="1" applyFont="1">
      <alignment vertical="center"/>
    </xf>
    <xf borderId="28" fillId="2" fontId="1" numFmtId="0" xfId="0" applyAlignment="1" applyBorder="1" applyFont="1">
      <alignment shrinkToFit="0" vertical="center" wrapText="1"/>
    </xf>
    <xf borderId="15" fillId="2" fontId="1" numFmtId="0" xfId="0" applyAlignment="1" applyBorder="1" applyFont="1">
      <alignment shrinkToFit="0" vertical="center" wrapText="1"/>
    </xf>
    <xf borderId="29" fillId="2" fontId="1" numFmtId="0" xfId="0" applyAlignment="1" applyBorder="1" applyFont="1">
      <alignment vertical="center"/>
    </xf>
    <xf borderId="27" fillId="0" fontId="6" numFmtId="0" xfId="0" applyBorder="1" applyFont="1"/>
    <xf borderId="27" fillId="0" fontId="1" numFmtId="0" xfId="0" applyAlignment="1" applyBorder="1" applyFont="1">
      <alignment readingOrder="0" shrinkToFit="0" vertical="center" wrapText="1"/>
    </xf>
    <xf borderId="8" fillId="2" fontId="1" numFmtId="0" xfId="0" applyAlignment="1" applyBorder="1" applyFont="1">
      <alignment readingOrder="0" vertical="center"/>
    </xf>
    <xf borderId="8" fillId="2" fontId="16" numFmtId="0" xfId="0" applyAlignment="1" applyBorder="1" applyFont="1">
      <alignment vertical="center"/>
    </xf>
    <xf borderId="7" fillId="2" fontId="1" numFmtId="0" xfId="0" applyAlignment="1" applyBorder="1" applyFont="1">
      <alignment vertical="center"/>
    </xf>
    <xf borderId="16" fillId="0" fontId="1" numFmtId="0" xfId="0" applyAlignment="1" applyBorder="1" applyFont="1">
      <alignment readingOrder="0" shrinkToFit="0" vertical="center" wrapText="1"/>
    </xf>
    <xf borderId="16" fillId="0" fontId="1" numFmtId="0" xfId="0" applyAlignment="1" applyBorder="1" applyFont="1">
      <alignment shrinkToFit="0" vertical="center" wrapText="1"/>
    </xf>
    <xf borderId="8" fillId="2" fontId="17" numFmtId="0" xfId="0" applyAlignment="1" applyBorder="1" applyFont="1">
      <alignment shrinkToFit="0" vertical="center" wrapText="1"/>
    </xf>
    <xf borderId="28" fillId="5" fontId="1" numFmtId="0" xfId="0" applyAlignment="1" applyBorder="1" applyFont="1">
      <alignment vertical="center"/>
    </xf>
    <xf borderId="28" fillId="2" fontId="1" numFmtId="0" xfId="0" applyAlignment="1" applyBorder="1" applyFont="1">
      <alignment vertical="center"/>
    </xf>
    <xf borderId="18" fillId="0" fontId="1" numFmtId="0" xfId="0" applyAlignment="1" applyBorder="1" applyFont="1">
      <alignment shrinkToFit="0" vertical="center" wrapText="1"/>
    </xf>
    <xf borderId="30" fillId="0" fontId="6" numFmtId="0" xfId="0" applyBorder="1" applyFont="1"/>
    <xf borderId="8" fillId="2" fontId="18" numFmtId="0" xfId="0" applyAlignment="1" applyBorder="1" applyFont="1">
      <alignment shrinkToFit="0" vertical="center" wrapText="1"/>
    </xf>
    <xf borderId="0" fillId="0" fontId="0" numFmtId="0" xfId="0" applyFont="1"/>
    <xf borderId="18" fillId="8" fontId="1" numFmtId="0" xfId="0" applyAlignment="1" applyBorder="1" applyFill="1" applyFont="1">
      <alignment readingOrder="0" shrinkToFit="0" vertical="center" wrapText="1"/>
    </xf>
    <xf borderId="18" fillId="8" fontId="1" numFmtId="0" xfId="0" applyAlignment="1" applyBorder="1" applyFont="1">
      <alignment shrinkToFit="0" vertical="center" wrapText="1"/>
    </xf>
    <xf borderId="24" fillId="6" fontId="19" numFmtId="0" xfId="0" applyAlignment="1" applyBorder="1" applyFont="1">
      <alignment vertical="center"/>
    </xf>
    <xf borderId="21" fillId="6" fontId="14" numFmtId="0" xfId="0" applyAlignment="1" applyBorder="1" applyFont="1">
      <alignment shrinkToFit="0" vertical="center" wrapText="1"/>
    </xf>
    <xf borderId="22" fillId="6" fontId="14" numFmtId="0" xfId="0" applyAlignment="1" applyBorder="1" applyFont="1">
      <alignment shrinkToFit="0" vertical="center" wrapText="1"/>
    </xf>
    <xf borderId="31" fillId="5" fontId="1" numFmtId="0" xfId="0" applyAlignment="1" applyBorder="1" applyFont="1">
      <alignment shrinkToFit="0" vertical="center" wrapText="1"/>
    </xf>
    <xf borderId="29" fillId="2" fontId="1" numFmtId="0" xfId="0" applyAlignment="1" applyBorder="1" applyFont="1">
      <alignment shrinkToFit="0" vertical="center" wrapText="1"/>
    </xf>
    <xf borderId="24" fillId="6" fontId="19" numFmtId="0" xfId="0" applyAlignment="1" applyBorder="1" applyFont="1">
      <alignment shrinkToFit="0" vertical="center" wrapText="1"/>
    </xf>
    <xf borderId="0" fillId="0" fontId="1" numFmtId="0" xfId="0" applyAlignment="1" applyFont="1">
      <alignment shrinkToFit="0" vertical="center" wrapText="1"/>
    </xf>
    <xf borderId="29" fillId="5" fontId="1" numFmtId="0" xfId="0" applyAlignment="1" applyBorder="1" applyFont="1">
      <alignment shrinkToFit="0" vertical="center" wrapText="1"/>
    </xf>
    <xf borderId="8" fillId="5" fontId="1" numFmtId="0" xfId="0" applyAlignment="1" applyBorder="1" applyFont="1">
      <alignment shrinkToFit="0" vertical="center" wrapText="1"/>
    </xf>
    <xf borderId="32" fillId="0" fontId="1" numFmtId="0" xfId="0" applyAlignment="1" applyBorder="1" applyFont="1">
      <alignment shrinkToFit="0" vertical="center" wrapText="1"/>
    </xf>
    <xf borderId="28" fillId="5" fontId="1" numFmtId="0" xfId="0" applyAlignment="1" applyBorder="1" applyFont="1">
      <alignment shrinkToFit="0" vertical="center" wrapText="1"/>
    </xf>
    <xf borderId="10" fillId="0" fontId="6" numFmtId="0" xfId="0" applyBorder="1" applyFont="1"/>
    <xf borderId="22" fillId="2" fontId="1" numFmtId="0" xfId="0" applyAlignment="1" applyBorder="1" applyFont="1">
      <alignment shrinkToFit="0" vertical="center" wrapText="1"/>
    </xf>
    <xf borderId="33" fillId="0" fontId="6" numFmtId="0" xfId="0" applyBorder="1" applyFont="1"/>
    <xf borderId="4" fillId="6" fontId="19" numFmtId="0" xfId="0" applyAlignment="1" applyBorder="1" applyFont="1">
      <alignment shrinkToFit="0" vertical="center" wrapText="1"/>
    </xf>
    <xf borderId="4" fillId="6" fontId="14" numFmtId="0" xfId="0" applyAlignment="1" applyBorder="1" applyFont="1">
      <alignment shrinkToFit="0" vertical="center" wrapText="1"/>
    </xf>
    <xf borderId="9" fillId="6" fontId="14" numFmtId="0" xfId="0" applyAlignment="1" applyBorder="1" applyFont="1">
      <alignment shrinkToFit="0" vertical="center" wrapText="1"/>
    </xf>
    <xf borderId="24" fillId="2" fontId="1" numFmtId="0" xfId="0" applyAlignment="1" applyBorder="1" applyFont="1">
      <alignment shrinkToFit="0" vertical="center" wrapText="1"/>
    </xf>
    <xf borderId="24" fillId="2" fontId="20" numFmtId="0" xfId="0" applyAlignment="1" applyBorder="1" applyFont="1">
      <alignment shrinkToFit="0" vertical="center" wrapText="1"/>
    </xf>
    <xf borderId="8" fillId="0" fontId="7" numFmtId="0" xfId="0" applyAlignment="1" applyBorder="1" applyFont="1">
      <alignment shrinkToFit="0" vertical="center" wrapText="1"/>
    </xf>
    <xf borderId="9" fillId="5" fontId="1" numFmtId="0" xfId="0" applyAlignment="1" applyBorder="1" applyFont="1">
      <alignment shrinkToFit="0" vertical="center" wrapText="1"/>
    </xf>
    <xf borderId="17" fillId="2" fontId="1" numFmtId="0" xfId="0" applyAlignment="1" applyBorder="1" applyFont="1">
      <alignment shrinkToFit="0" vertical="center" wrapText="1"/>
    </xf>
    <xf borderId="3" fillId="5" fontId="1" numFmtId="0" xfId="0" applyAlignment="1" applyBorder="1" applyFont="1">
      <alignment shrinkToFit="0" vertical="center" wrapText="1"/>
    </xf>
    <xf borderId="24" fillId="9" fontId="14" numFmtId="0" xfId="0" applyAlignment="1" applyBorder="1" applyFill="1" applyFont="1">
      <alignment shrinkToFit="0" vertical="center" wrapText="1"/>
    </xf>
    <xf borderId="21" fillId="9" fontId="1" numFmtId="0" xfId="0" applyAlignment="1" applyBorder="1" applyFont="1">
      <alignment vertical="center"/>
    </xf>
    <xf borderId="22" fillId="9" fontId="1" numFmtId="0" xfId="0" applyAlignment="1" applyBorder="1" applyFont="1">
      <alignment vertical="center"/>
    </xf>
    <xf borderId="1" fillId="6" fontId="19" numFmtId="0" xfId="0" applyAlignment="1" applyBorder="1" applyFont="1">
      <alignment vertical="center"/>
    </xf>
    <xf borderId="2" fillId="6" fontId="14" numFmtId="0" xfId="0" applyAlignment="1" applyBorder="1" applyFont="1">
      <alignment shrinkToFit="0" vertical="center" wrapText="1"/>
    </xf>
    <xf borderId="8" fillId="0" fontId="20" numFmtId="0" xfId="0" applyAlignment="1" applyBorder="1" applyFont="1">
      <alignment shrinkToFit="0" vertical="center" wrapText="1"/>
    </xf>
    <xf borderId="8" fillId="2" fontId="20" numFmtId="0" xfId="0" applyAlignment="1" applyBorder="1" applyFont="1">
      <alignment shrinkToFit="0" vertical="center" wrapText="1"/>
    </xf>
    <xf borderId="22" fillId="5" fontId="1" numFmtId="0" xfId="0" applyAlignment="1" applyBorder="1" applyFont="1">
      <alignment vertical="center"/>
    </xf>
    <xf borderId="15" fillId="0" fontId="20" numFmtId="0" xfId="0" applyAlignment="1" applyBorder="1" applyFont="1">
      <alignment shrinkToFit="0" vertical="center" wrapText="1"/>
    </xf>
    <xf borderId="24" fillId="3" fontId="14" numFmtId="0" xfId="0" applyAlignment="1" applyBorder="1" applyFont="1">
      <alignment shrinkToFit="0" vertical="center" wrapText="1"/>
    </xf>
    <xf borderId="21" fillId="3" fontId="1" numFmtId="0" xfId="0" applyAlignment="1" applyBorder="1" applyFont="1">
      <alignment vertical="center"/>
    </xf>
    <xf borderId="22" fillId="3" fontId="1" numFmtId="0" xfId="0" applyAlignment="1" applyBorder="1" applyFont="1">
      <alignment vertical="center"/>
    </xf>
    <xf borderId="34" fillId="2" fontId="1" numFmtId="0" xfId="0" applyAlignment="1" applyBorder="1" applyFont="1">
      <alignment shrinkToFit="0" vertical="center" wrapText="1"/>
    </xf>
    <xf borderId="35" fillId="0" fontId="6" numFmtId="0" xfId="0" applyBorder="1" applyFont="1"/>
    <xf borderId="36" fillId="0" fontId="6" numFmtId="0" xfId="0" applyBorder="1" applyFont="1"/>
    <xf borderId="31" fillId="5" fontId="1" numFmtId="0" xfId="0" applyAlignment="1" applyBorder="1" applyFont="1">
      <alignment vertical="center"/>
    </xf>
    <xf borderId="16" fillId="0" fontId="20" numFmtId="0" xfId="0" applyAlignment="1" applyBorder="1" applyFont="1">
      <alignment shrinkToFit="0" vertical="center" wrapText="1"/>
    </xf>
    <xf borderId="29" fillId="2" fontId="20" numFmtId="0" xfId="0" applyAlignment="1" applyBorder="1" applyFont="1">
      <alignment shrinkToFit="0" vertical="center" wrapText="1"/>
    </xf>
    <xf borderId="29" fillId="2" fontId="17" numFmtId="0" xfId="0" applyAlignment="1" applyBorder="1" applyFont="1">
      <alignment shrinkToFit="0" vertical="center" wrapText="1"/>
    </xf>
    <xf borderId="27" fillId="0" fontId="20" numFmtId="0" xfId="0" applyAlignment="1" applyBorder="1" applyFont="1">
      <alignment shrinkToFit="0" vertical="center" wrapText="1"/>
    </xf>
    <xf borderId="17" fillId="2" fontId="20" numFmtId="0" xfId="0" applyAlignment="1" applyBorder="1" applyFont="1">
      <alignment shrinkToFit="0" vertical="center" wrapText="1"/>
    </xf>
    <xf borderId="9" fillId="5" fontId="1" numFmtId="0" xfId="0" applyAlignment="1" applyBorder="1" applyFont="1">
      <alignment vertical="center"/>
    </xf>
    <xf borderId="17" fillId="2" fontId="1" numFmtId="0" xfId="0" applyAlignment="1" applyBorder="1" applyFont="1">
      <alignment vertical="center"/>
    </xf>
    <xf borderId="24" fillId="3" fontId="14" numFmtId="0" xfId="0" applyAlignment="1" applyBorder="1" applyFont="1">
      <alignment vertical="center"/>
    </xf>
    <xf borderId="8" fillId="2" fontId="20" numFmtId="0" xfId="0" applyAlignment="1" applyBorder="1" applyFont="1">
      <alignment readingOrder="0" shrinkToFit="0" vertical="center" wrapText="1"/>
    </xf>
    <xf borderId="29" fillId="5" fontId="1" numFmtId="0" xfId="0" applyAlignment="1" applyBorder="1" applyFont="1">
      <alignment vertical="center"/>
    </xf>
    <xf borderId="23" fillId="3" fontId="14" numFmtId="0" xfId="0" applyAlignment="1" applyBorder="1" applyFont="1">
      <alignment vertical="center"/>
    </xf>
    <xf borderId="25" fillId="3" fontId="1" numFmtId="0" xfId="0" applyAlignment="1" applyBorder="1" applyFont="1">
      <alignment vertical="center"/>
    </xf>
    <xf borderId="31" fillId="3" fontId="1" numFmtId="0" xfId="0" applyAlignment="1" applyBorder="1" applyFont="1">
      <alignment vertical="center"/>
    </xf>
    <xf borderId="8" fillId="0" fontId="20" numFmtId="0" xfId="0" applyAlignment="1" applyBorder="1" applyFont="1">
      <alignment readingOrder="0" shrinkToFit="0" vertical="center" wrapText="1"/>
    </xf>
    <xf borderId="15" fillId="0" fontId="20" numFmtId="0" xfId="0" applyAlignment="1" applyBorder="1" applyFont="1">
      <alignment readingOrder="0" shrinkToFit="0" vertical="center" wrapText="1"/>
    </xf>
    <xf borderId="16" fillId="0" fontId="20" numFmtId="0" xfId="0" applyAlignment="1" applyBorder="1" applyFont="1">
      <alignment readingOrder="0" shrinkToFit="0" vertical="center" wrapText="1"/>
    </xf>
    <xf borderId="15" fillId="0" fontId="20" numFmtId="0" xfId="0" applyAlignment="1" applyBorder="1" applyFont="1">
      <alignment horizontal="left" shrinkToFit="0" vertical="center" wrapText="1"/>
    </xf>
    <xf borderId="8" fillId="0" fontId="17" numFmtId="0" xfId="0" applyAlignment="1" applyBorder="1" applyFont="1">
      <alignment readingOrder="0" shrinkToFit="0" vertical="center" wrapText="1"/>
    </xf>
    <xf borderId="16" fillId="0" fontId="20" numFmtId="0" xfId="0" applyAlignment="1" applyBorder="1" applyFont="1">
      <alignment horizontal="left" shrinkToFit="0" vertical="center" wrapText="1"/>
    </xf>
    <xf borderId="29" fillId="2" fontId="20" numFmtId="0" xfId="0" applyAlignment="1" applyBorder="1" applyFont="1">
      <alignment horizontal="left" shrinkToFit="0" vertical="center" wrapText="1"/>
    </xf>
    <xf borderId="8" fillId="5" fontId="1" numFmtId="0" xfId="0" applyAlignment="1" applyBorder="1" applyFont="1">
      <alignment horizontal="left" vertical="center"/>
    </xf>
    <xf borderId="8" fillId="2" fontId="1" numFmtId="0" xfId="0" applyAlignment="1" applyBorder="1" applyFont="1">
      <alignment horizontal="left" vertical="center"/>
    </xf>
    <xf borderId="24" fillId="3" fontId="14" numFmtId="0" xfId="0" applyAlignment="1" applyBorder="1" applyFont="1">
      <alignment horizontal="left" vertical="center"/>
    </xf>
    <xf borderId="21" fillId="3" fontId="1" numFmtId="0" xfId="0" applyAlignment="1" applyBorder="1" applyFont="1">
      <alignment horizontal="left" vertical="center"/>
    </xf>
    <xf borderId="22" fillId="3" fontId="1" numFmtId="0" xfId="0" applyAlignment="1" applyBorder="1" applyFont="1">
      <alignment horizontal="left" vertical="center"/>
    </xf>
    <xf borderId="24" fillId="6" fontId="19" numFmtId="0" xfId="0" applyAlignment="1" applyBorder="1" applyFont="1">
      <alignment horizontal="left" vertical="center"/>
    </xf>
    <xf borderId="21" fillId="6" fontId="14" numFmtId="0" xfId="0" applyAlignment="1" applyBorder="1" applyFont="1">
      <alignment horizontal="left" shrinkToFit="0" vertical="center" wrapText="1"/>
    </xf>
    <xf borderId="22" fillId="6" fontId="14" numFmtId="0" xfId="0" applyAlignment="1" applyBorder="1" applyFont="1">
      <alignment horizontal="left" shrinkToFit="0" vertical="center" wrapText="1"/>
    </xf>
    <xf borderId="15" fillId="0" fontId="20" numFmtId="0" xfId="0" applyAlignment="1" applyBorder="1" applyFont="1">
      <alignment horizontal="center" shrinkToFit="0" vertical="center" wrapText="1"/>
    </xf>
    <xf borderId="29" fillId="2" fontId="20" numFmtId="0" xfId="0" applyAlignment="1" applyBorder="1" applyFont="1">
      <alignment horizontal="left" readingOrder="0" shrinkToFit="0" vertical="center" wrapText="1"/>
    </xf>
    <xf borderId="24" fillId="6" fontId="19" numFmtId="0" xfId="0" applyAlignment="1" applyBorder="1" applyFont="1">
      <alignment horizontal="left" readingOrder="0" vertical="center"/>
    </xf>
    <xf borderId="8" fillId="0" fontId="1" numFmtId="0" xfId="0" applyAlignment="1" applyBorder="1" applyFont="1">
      <alignment horizontal="left" shrinkToFit="0" vertical="center" wrapText="1"/>
    </xf>
    <xf borderId="8" fillId="0" fontId="20" numFmtId="0" xfId="0" applyAlignment="1" applyBorder="1" applyFont="1">
      <alignment horizontal="left" shrinkToFit="0" vertical="center" wrapText="1"/>
    </xf>
    <xf borderId="21" fillId="6" fontId="21" numFmtId="0" xfId="0" applyAlignment="1" applyBorder="1" applyFont="1">
      <alignment horizontal="left" shrinkToFit="0" vertical="center" wrapText="1"/>
    </xf>
    <xf borderId="8" fillId="0" fontId="20" numFmtId="0" xfId="0" applyAlignment="1" applyBorder="1" applyFont="1">
      <alignment horizontal="left" readingOrder="0" shrinkToFit="0" vertical="center" wrapText="1"/>
    </xf>
    <xf borderId="0" fillId="0" fontId="1" numFmtId="0" xfId="0" applyAlignment="1" applyFont="1">
      <alignment horizontal="center"/>
    </xf>
  </cellXfs>
  <cellStyles count="1">
    <cellStyle xfId="0" name="Normal" builtinId="0"/>
  </cellStyles>
  <dxfs count="3">
    <dxf>
      <font/>
      <fill>
        <patternFill patternType="none"/>
      </fill>
      <border/>
    </dxf>
    <dxf>
      <font>
        <color rgb="FFFF0000"/>
      </font>
      <fill>
        <patternFill patternType="none"/>
      </fill>
      <border/>
    </dxf>
    <dxf>
      <font>
        <color rgb="FF0000F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showGridLines="0" workbookViewId="0"/>
  </sheetViews>
  <sheetFormatPr customHeight="1" defaultColWidth="14.43" defaultRowHeight="15.0"/>
  <cols>
    <col customWidth="1" min="1" max="1" width="9.43"/>
    <col customWidth="1" min="2" max="2" width="25.0"/>
    <col customWidth="1" min="3" max="5" width="13.14"/>
    <col customWidth="1" min="6" max="6" width="18.43"/>
    <col customWidth="1" min="7" max="7" width="16.0"/>
    <col customWidth="1" min="8" max="8" width="7.14"/>
    <col customWidth="1" min="9" max="9" width="7.29"/>
    <col customWidth="1" min="10" max="13" width="9.0"/>
    <col customWidth="1" min="14" max="26" width="8.71"/>
  </cols>
  <sheetData>
    <row r="1" ht="27.75" customHeight="1">
      <c r="A1" s="1"/>
      <c r="B1" s="2"/>
      <c r="C1" s="2"/>
      <c r="D1" s="3"/>
      <c r="E1" s="4" t="s">
        <v>0</v>
      </c>
      <c r="F1" s="5"/>
      <c r="G1" s="2"/>
      <c r="H1" s="2"/>
      <c r="I1" s="6"/>
      <c r="J1" s="7"/>
      <c r="K1" s="7"/>
      <c r="L1" s="7"/>
      <c r="M1" s="7"/>
      <c r="N1" s="7"/>
      <c r="O1" s="7"/>
      <c r="P1" s="7"/>
      <c r="Q1" s="7"/>
      <c r="R1" s="7"/>
      <c r="S1" s="7"/>
      <c r="T1" s="7"/>
      <c r="U1" s="7"/>
      <c r="V1" s="7"/>
      <c r="W1" s="7"/>
      <c r="X1" s="7"/>
      <c r="Y1" s="7"/>
      <c r="Z1" s="7"/>
    </row>
    <row r="2" ht="12.75" customHeight="1">
      <c r="A2" s="10"/>
      <c r="B2" s="11"/>
      <c r="C2" s="11"/>
      <c r="D2" s="13"/>
      <c r="E2" s="11"/>
      <c r="F2" s="16"/>
      <c r="G2" s="11"/>
      <c r="H2" s="11"/>
      <c r="I2" s="18"/>
      <c r="J2" s="7"/>
      <c r="K2" s="7"/>
      <c r="L2" s="7"/>
      <c r="M2" s="7"/>
      <c r="N2" s="7"/>
      <c r="O2" s="7"/>
      <c r="P2" s="7"/>
      <c r="Q2" s="7"/>
      <c r="R2" s="7"/>
      <c r="S2" s="7"/>
      <c r="T2" s="7"/>
      <c r="U2" s="7"/>
      <c r="V2" s="7"/>
      <c r="W2" s="7"/>
      <c r="X2" s="7"/>
      <c r="Y2" s="7"/>
      <c r="Z2" s="7"/>
    </row>
    <row r="3" ht="12.75" customHeight="1">
      <c r="A3" s="10"/>
      <c r="B3" s="11"/>
      <c r="C3" s="11"/>
      <c r="D3" s="11"/>
      <c r="E3" s="11"/>
      <c r="F3" s="11"/>
      <c r="G3" s="11"/>
      <c r="H3" s="11"/>
      <c r="I3" s="18"/>
      <c r="J3" s="7"/>
      <c r="K3" s="7"/>
      <c r="L3" s="7"/>
      <c r="M3" s="7"/>
      <c r="N3" s="7"/>
      <c r="O3" s="7"/>
      <c r="P3" s="7"/>
      <c r="Q3" s="7"/>
      <c r="R3" s="7"/>
      <c r="S3" s="7"/>
      <c r="T3" s="7"/>
      <c r="U3" s="7"/>
      <c r="V3" s="7"/>
      <c r="W3" s="7"/>
      <c r="X3" s="7"/>
      <c r="Y3" s="7"/>
      <c r="Z3" s="7"/>
    </row>
    <row r="4" ht="12.75" customHeight="1">
      <c r="A4" s="10"/>
      <c r="B4" s="11"/>
      <c r="C4" s="11"/>
      <c r="D4" s="11"/>
      <c r="E4" s="11"/>
      <c r="F4" s="11"/>
      <c r="G4" s="11"/>
      <c r="H4" s="11"/>
      <c r="I4" s="18"/>
      <c r="J4" s="7"/>
      <c r="K4" s="7"/>
      <c r="L4" s="7"/>
      <c r="M4" s="7"/>
      <c r="N4" s="7"/>
      <c r="O4" s="7"/>
      <c r="P4" s="7"/>
      <c r="Q4" s="7"/>
      <c r="R4" s="7"/>
      <c r="S4" s="7"/>
      <c r="T4" s="7"/>
      <c r="U4" s="7"/>
      <c r="V4" s="7"/>
      <c r="W4" s="7"/>
      <c r="X4" s="7"/>
      <c r="Y4" s="7"/>
      <c r="Z4" s="7"/>
    </row>
    <row r="5" ht="12.75" customHeight="1">
      <c r="A5" s="10"/>
      <c r="B5" s="11"/>
      <c r="C5" s="11"/>
      <c r="D5" s="11"/>
      <c r="E5" s="11"/>
      <c r="F5" s="11"/>
      <c r="G5" s="11"/>
      <c r="H5" s="11"/>
      <c r="I5" s="18"/>
      <c r="J5" s="7"/>
      <c r="K5" s="7"/>
      <c r="L5" s="7"/>
      <c r="M5" s="7"/>
      <c r="N5" s="7"/>
      <c r="O5" s="7"/>
      <c r="P5" s="7"/>
      <c r="Q5" s="7"/>
      <c r="R5" s="7"/>
      <c r="S5" s="7"/>
      <c r="T5" s="7"/>
      <c r="U5" s="7"/>
      <c r="V5" s="7"/>
      <c r="W5" s="7"/>
      <c r="X5" s="7"/>
      <c r="Y5" s="7"/>
      <c r="Z5" s="7"/>
    </row>
    <row r="6" ht="12.75" customHeight="1">
      <c r="A6" s="10"/>
      <c r="B6" s="11"/>
      <c r="C6" s="11"/>
      <c r="D6" s="11"/>
      <c r="E6" s="11"/>
      <c r="F6" s="11"/>
      <c r="G6" s="11"/>
      <c r="H6" s="11"/>
      <c r="I6" s="18"/>
      <c r="J6" s="7"/>
      <c r="K6" s="7"/>
      <c r="L6" s="7"/>
      <c r="M6" s="7"/>
      <c r="N6" s="7"/>
      <c r="O6" s="7"/>
      <c r="P6" s="7"/>
      <c r="Q6" s="7"/>
      <c r="R6" s="7"/>
      <c r="S6" s="7"/>
      <c r="T6" s="7"/>
      <c r="U6" s="7"/>
      <c r="V6" s="7"/>
      <c r="W6" s="7"/>
      <c r="X6" s="7"/>
      <c r="Y6" s="7"/>
      <c r="Z6" s="7"/>
    </row>
    <row r="7" ht="12.75" customHeight="1">
      <c r="A7" s="10"/>
      <c r="B7" s="11"/>
      <c r="C7" s="11"/>
      <c r="D7" s="11"/>
      <c r="E7" s="11"/>
      <c r="F7" s="11"/>
      <c r="G7" s="11"/>
      <c r="H7" s="11"/>
      <c r="I7" s="18"/>
      <c r="J7" s="7"/>
      <c r="K7" s="7"/>
      <c r="L7" s="7"/>
      <c r="M7" s="7"/>
      <c r="N7" s="7"/>
      <c r="O7" s="7"/>
      <c r="P7" s="7"/>
      <c r="Q7" s="7"/>
      <c r="R7" s="7"/>
      <c r="S7" s="7"/>
      <c r="T7" s="7"/>
      <c r="U7" s="7"/>
      <c r="V7" s="7"/>
      <c r="W7" s="7"/>
      <c r="X7" s="7"/>
      <c r="Y7" s="7"/>
      <c r="Z7" s="7"/>
    </row>
    <row r="8" ht="12.75" customHeight="1">
      <c r="A8" s="10"/>
      <c r="B8" s="11"/>
      <c r="C8" s="11"/>
      <c r="D8" s="11"/>
      <c r="E8" s="11"/>
      <c r="F8" s="11"/>
      <c r="G8" s="11"/>
      <c r="H8" s="11"/>
      <c r="I8" s="18"/>
      <c r="J8" s="7"/>
      <c r="K8" s="7"/>
      <c r="L8" s="7"/>
      <c r="M8" s="7"/>
      <c r="N8" s="7"/>
      <c r="O8" s="7"/>
      <c r="P8" s="7"/>
      <c r="Q8" s="7"/>
      <c r="R8" s="7"/>
      <c r="S8" s="7"/>
      <c r="T8" s="7"/>
      <c r="U8" s="7"/>
      <c r="V8" s="7"/>
      <c r="W8" s="7"/>
      <c r="X8" s="7"/>
      <c r="Y8" s="7"/>
      <c r="Z8" s="7"/>
    </row>
    <row r="9" ht="27.75" customHeight="1">
      <c r="A9" s="20" t="s">
        <v>6</v>
      </c>
      <c r="I9" s="21"/>
      <c r="J9" s="7"/>
      <c r="K9" s="7"/>
      <c r="L9" s="7"/>
      <c r="M9" s="7"/>
      <c r="N9" s="7"/>
      <c r="O9" s="7"/>
      <c r="P9" s="7"/>
      <c r="Q9" s="7"/>
      <c r="R9" s="7"/>
      <c r="S9" s="7"/>
      <c r="T9" s="7"/>
      <c r="U9" s="7"/>
      <c r="V9" s="7"/>
      <c r="W9" s="7"/>
      <c r="X9" s="7"/>
      <c r="Y9" s="7"/>
      <c r="Z9" s="7"/>
    </row>
    <row r="10" ht="27.75" customHeight="1">
      <c r="A10" s="23" t="s">
        <v>8</v>
      </c>
      <c r="B10" s="24"/>
      <c r="C10" s="24"/>
      <c r="D10" s="24"/>
      <c r="E10" s="24"/>
      <c r="F10" s="24"/>
      <c r="G10" s="24"/>
      <c r="H10" s="24"/>
      <c r="I10" s="25"/>
      <c r="J10" s="26"/>
      <c r="K10" s="7"/>
      <c r="L10" s="7"/>
      <c r="M10" s="7"/>
      <c r="N10" s="7"/>
      <c r="O10" s="7"/>
      <c r="P10" s="7"/>
      <c r="Q10" s="7"/>
      <c r="R10" s="7"/>
      <c r="S10" s="7"/>
      <c r="T10" s="7"/>
      <c r="U10" s="7"/>
      <c r="V10" s="7"/>
      <c r="W10" s="7"/>
      <c r="X10" s="7"/>
      <c r="Y10" s="7"/>
      <c r="Z10" s="7"/>
    </row>
    <row r="11" ht="25.5" customHeight="1">
      <c r="A11" s="27"/>
      <c r="B11" s="24"/>
      <c r="C11" s="24"/>
      <c r="D11" s="24"/>
      <c r="E11" s="24"/>
      <c r="F11" s="24"/>
      <c r="G11" s="24"/>
      <c r="H11" s="24"/>
      <c r="I11" s="25"/>
      <c r="J11" s="7"/>
      <c r="K11" s="7"/>
      <c r="L11" s="7"/>
      <c r="M11" s="7"/>
      <c r="N11" s="7"/>
      <c r="O11" s="7"/>
      <c r="P11" s="7"/>
      <c r="Q11" s="7"/>
      <c r="R11" s="7"/>
      <c r="S11" s="7"/>
      <c r="T11" s="7"/>
      <c r="U11" s="7"/>
      <c r="V11" s="7"/>
      <c r="W11" s="7"/>
      <c r="X11" s="7"/>
      <c r="Y11" s="7"/>
      <c r="Z11" s="7"/>
    </row>
    <row r="12" ht="12.75" customHeight="1">
      <c r="A12" s="10"/>
      <c r="B12" s="11"/>
      <c r="C12" s="11"/>
      <c r="D12" s="11"/>
      <c r="E12" s="11"/>
      <c r="F12" s="11"/>
      <c r="G12" s="11"/>
      <c r="H12" s="11"/>
      <c r="I12" s="18"/>
      <c r="J12" s="7"/>
      <c r="K12" s="7"/>
      <c r="L12" s="7"/>
      <c r="M12" s="7"/>
      <c r="N12" s="7"/>
      <c r="O12" s="7"/>
      <c r="P12" s="7"/>
      <c r="Q12" s="7"/>
      <c r="R12" s="7"/>
      <c r="S12" s="7"/>
      <c r="T12" s="7"/>
      <c r="U12" s="7"/>
      <c r="V12" s="7"/>
      <c r="W12" s="7"/>
      <c r="X12" s="7"/>
      <c r="Y12" s="7"/>
      <c r="Z12" s="7"/>
    </row>
    <row r="13" ht="12.75" customHeight="1">
      <c r="A13" s="10"/>
      <c r="B13" s="11"/>
      <c r="C13" s="11"/>
      <c r="D13" s="11"/>
      <c r="E13" s="11"/>
      <c r="F13" s="11"/>
      <c r="G13" s="11"/>
      <c r="H13" s="11"/>
      <c r="I13" s="18"/>
      <c r="J13" s="7"/>
      <c r="K13" s="7"/>
      <c r="L13" s="7"/>
      <c r="M13" s="7"/>
      <c r="N13" s="7"/>
      <c r="O13" s="7"/>
      <c r="P13" s="7"/>
      <c r="Q13" s="7"/>
      <c r="R13" s="7"/>
      <c r="S13" s="7"/>
      <c r="T13" s="7"/>
      <c r="U13" s="7"/>
      <c r="V13" s="7"/>
      <c r="W13" s="7"/>
      <c r="X13" s="7"/>
      <c r="Y13" s="7"/>
      <c r="Z13" s="7"/>
    </row>
    <row r="14" ht="12.75" customHeight="1">
      <c r="A14" s="10"/>
      <c r="B14" s="11"/>
      <c r="C14" s="11"/>
      <c r="D14" s="11"/>
      <c r="E14" s="11"/>
      <c r="F14" s="11"/>
      <c r="G14" s="11"/>
      <c r="H14" s="11"/>
      <c r="I14" s="18"/>
      <c r="J14" s="7"/>
      <c r="K14" s="7"/>
      <c r="L14" s="7"/>
      <c r="M14" s="7"/>
      <c r="N14" s="7"/>
      <c r="O14" s="7"/>
      <c r="P14" s="7"/>
      <c r="Q14" s="7"/>
      <c r="R14" s="7"/>
      <c r="S14" s="7"/>
      <c r="T14" s="7"/>
      <c r="U14" s="7"/>
      <c r="V14" s="7"/>
      <c r="W14" s="7"/>
      <c r="X14" s="7"/>
      <c r="Y14" s="7"/>
      <c r="Z14" s="7"/>
    </row>
    <row r="15" ht="12.75" customHeight="1">
      <c r="A15" s="10"/>
      <c r="B15" s="11"/>
      <c r="C15" s="11"/>
      <c r="D15" s="11"/>
      <c r="E15" s="11"/>
      <c r="F15" s="29"/>
      <c r="G15" s="11"/>
      <c r="H15" s="11"/>
      <c r="I15" s="18"/>
      <c r="J15" s="7"/>
      <c r="K15" s="7"/>
      <c r="L15" s="7"/>
      <c r="M15" s="7"/>
      <c r="N15" s="7"/>
      <c r="O15" s="7"/>
      <c r="P15" s="7"/>
      <c r="Q15" s="7"/>
      <c r="R15" s="7"/>
      <c r="S15" s="7"/>
      <c r="T15" s="7"/>
      <c r="U15" s="7"/>
      <c r="V15" s="7"/>
      <c r="W15" s="7"/>
      <c r="X15" s="7"/>
      <c r="Y15" s="7"/>
      <c r="Z15" s="7"/>
    </row>
    <row r="16" ht="17.25" customHeight="1">
      <c r="A16" s="10"/>
      <c r="B16" s="11"/>
      <c r="C16" s="11"/>
      <c r="D16" s="11"/>
      <c r="E16" s="30"/>
      <c r="F16" s="11"/>
      <c r="G16" s="11"/>
      <c r="H16" s="11"/>
      <c r="I16" s="18"/>
      <c r="J16" s="7"/>
      <c r="K16" s="7"/>
      <c r="L16" s="7"/>
      <c r="M16" s="7"/>
      <c r="N16" s="7"/>
      <c r="O16" s="7"/>
      <c r="P16" s="7"/>
      <c r="Q16" s="7"/>
      <c r="R16" s="7"/>
      <c r="S16" s="7"/>
      <c r="T16" s="7"/>
      <c r="U16" s="7"/>
      <c r="V16" s="7"/>
      <c r="W16" s="7"/>
      <c r="X16" s="7"/>
      <c r="Y16" s="7"/>
      <c r="Z16" s="7"/>
    </row>
    <row r="17" ht="12.75" customHeight="1">
      <c r="A17" s="31"/>
      <c r="B17" s="29"/>
      <c r="C17" s="11" t="s">
        <v>24</v>
      </c>
      <c r="D17" s="11" t="s">
        <v>25</v>
      </c>
      <c r="E17" s="33" t="s">
        <v>26</v>
      </c>
      <c r="F17" s="29"/>
      <c r="G17" s="29"/>
      <c r="H17" s="29"/>
      <c r="I17" s="34"/>
      <c r="J17" s="7"/>
      <c r="K17" s="7"/>
      <c r="L17" s="7"/>
      <c r="M17" s="7"/>
      <c r="N17" s="7"/>
      <c r="O17" s="7"/>
      <c r="P17" s="7"/>
      <c r="Q17" s="7"/>
      <c r="R17" s="7"/>
      <c r="S17" s="7"/>
      <c r="T17" s="7"/>
      <c r="U17" s="7"/>
      <c r="V17" s="7"/>
      <c r="W17" s="7"/>
      <c r="X17" s="7"/>
      <c r="Y17" s="7"/>
      <c r="Z17" s="7"/>
    </row>
    <row r="18" ht="18.75" customHeight="1">
      <c r="A18" s="10"/>
      <c r="B18" s="11"/>
      <c r="C18" s="11" t="s">
        <v>27</v>
      </c>
      <c r="D18" s="11" t="s">
        <v>25</v>
      </c>
      <c r="E18" s="33" t="s">
        <v>28</v>
      </c>
      <c r="F18" s="11"/>
      <c r="G18" s="11"/>
      <c r="H18" s="11"/>
      <c r="I18" s="18"/>
      <c r="J18" s="7"/>
      <c r="K18" s="7"/>
      <c r="L18" s="7"/>
      <c r="M18" s="7"/>
      <c r="N18" s="7"/>
      <c r="O18" s="7"/>
      <c r="P18" s="7"/>
      <c r="Q18" s="7"/>
      <c r="R18" s="7"/>
      <c r="S18" s="7"/>
      <c r="T18" s="7"/>
      <c r="U18" s="7"/>
      <c r="V18" s="7"/>
      <c r="W18" s="7"/>
      <c r="X18" s="7"/>
      <c r="Y18" s="7"/>
      <c r="Z18" s="7"/>
    </row>
    <row r="19" ht="18.75" customHeight="1">
      <c r="A19" s="10"/>
      <c r="B19" s="11"/>
      <c r="C19" s="11"/>
      <c r="D19" s="11"/>
      <c r="E19" s="33"/>
      <c r="F19" s="11"/>
      <c r="G19" s="11"/>
      <c r="H19" s="11"/>
      <c r="I19" s="18"/>
      <c r="J19" s="7"/>
      <c r="K19" s="7"/>
      <c r="L19" s="7"/>
      <c r="M19" s="7"/>
      <c r="N19" s="7"/>
      <c r="O19" s="7"/>
      <c r="P19" s="7"/>
      <c r="Q19" s="7"/>
      <c r="R19" s="7"/>
      <c r="S19" s="7"/>
      <c r="T19" s="7"/>
      <c r="U19" s="7"/>
      <c r="V19" s="7"/>
      <c r="W19" s="7"/>
      <c r="X19" s="7"/>
      <c r="Y19" s="7"/>
      <c r="Z19" s="7"/>
    </row>
    <row r="20" ht="18.75" customHeight="1">
      <c r="A20" s="10"/>
      <c r="B20" s="11"/>
      <c r="C20" s="11"/>
      <c r="D20" s="11"/>
      <c r="E20" s="33"/>
      <c r="F20" s="11"/>
      <c r="G20" s="11"/>
      <c r="H20" s="11"/>
      <c r="I20" s="18"/>
      <c r="J20" s="7"/>
      <c r="K20" s="7"/>
      <c r="L20" s="7"/>
      <c r="M20" s="7"/>
      <c r="N20" s="7"/>
      <c r="O20" s="7"/>
      <c r="P20" s="7"/>
      <c r="Q20" s="7"/>
      <c r="R20" s="7"/>
      <c r="S20" s="7"/>
      <c r="T20" s="7"/>
      <c r="U20" s="7"/>
      <c r="V20" s="7"/>
      <c r="W20" s="7"/>
      <c r="X20" s="7"/>
      <c r="Y20" s="7"/>
      <c r="Z20" s="7"/>
    </row>
    <row r="21" ht="12.75" customHeight="1">
      <c r="A21" s="35" t="s">
        <v>29</v>
      </c>
      <c r="B21" s="11"/>
      <c r="C21" s="7"/>
      <c r="D21" s="11"/>
      <c r="E21" s="11"/>
      <c r="F21" s="11"/>
      <c r="G21" s="11"/>
      <c r="H21" s="11"/>
      <c r="I21" s="36"/>
      <c r="J21" s="7"/>
      <c r="K21" s="7"/>
      <c r="L21" s="7"/>
      <c r="M21" s="7"/>
      <c r="N21" s="7"/>
      <c r="O21" s="7"/>
      <c r="P21" s="7"/>
      <c r="Q21" s="7"/>
      <c r="R21" s="7"/>
      <c r="S21" s="7"/>
      <c r="T21" s="7"/>
      <c r="U21" s="7"/>
      <c r="V21" s="7"/>
      <c r="W21" s="7"/>
      <c r="X21" s="7"/>
      <c r="Y21" s="7"/>
      <c r="Z21" s="7"/>
    </row>
    <row r="22" ht="12.75" customHeight="1">
      <c r="A22" s="35"/>
      <c r="B22" s="11"/>
      <c r="C22" s="33" t="s">
        <v>30</v>
      </c>
      <c r="D22" s="11"/>
      <c r="E22" s="11"/>
      <c r="F22" s="38" t="s">
        <v>31</v>
      </c>
      <c r="G22" s="11"/>
      <c r="H22" s="11"/>
      <c r="I22" s="36"/>
      <c r="J22" s="7"/>
      <c r="K22" s="7"/>
      <c r="L22" s="7"/>
      <c r="M22" s="7"/>
      <c r="N22" s="7"/>
      <c r="O22" s="7"/>
      <c r="P22" s="7"/>
      <c r="Q22" s="7"/>
      <c r="R22" s="7"/>
      <c r="S22" s="7"/>
      <c r="T22" s="7"/>
      <c r="U22" s="7"/>
      <c r="V22" s="7"/>
      <c r="W22" s="7"/>
      <c r="X22" s="7"/>
      <c r="Y22" s="7"/>
      <c r="Z22" s="7"/>
    </row>
    <row r="23" ht="12.75" customHeight="1">
      <c r="A23" s="35"/>
      <c r="B23" s="11"/>
      <c r="C23" s="33"/>
      <c r="D23" s="11"/>
      <c r="E23" s="11"/>
      <c r="F23" s="40"/>
      <c r="G23" s="11"/>
      <c r="H23" s="11"/>
      <c r="I23" s="36"/>
      <c r="J23" s="7"/>
      <c r="K23" s="7"/>
      <c r="L23" s="7"/>
      <c r="M23" s="7"/>
      <c r="N23" s="7"/>
      <c r="O23" s="7"/>
      <c r="P23" s="7"/>
      <c r="Q23" s="7"/>
      <c r="R23" s="7"/>
      <c r="S23" s="7"/>
      <c r="T23" s="7"/>
      <c r="U23" s="7"/>
      <c r="V23" s="7"/>
      <c r="W23" s="7"/>
      <c r="X23" s="7"/>
      <c r="Y23" s="7"/>
      <c r="Z23" s="7"/>
    </row>
    <row r="24" ht="12.75" customHeight="1">
      <c r="A24" s="35"/>
      <c r="B24" s="11"/>
      <c r="C24" s="33"/>
      <c r="D24" s="11"/>
      <c r="E24" s="11"/>
      <c r="F24" s="11"/>
      <c r="G24" s="11"/>
      <c r="H24" s="11"/>
      <c r="I24" s="36"/>
      <c r="J24" s="7"/>
      <c r="K24" s="7"/>
      <c r="L24" s="7"/>
      <c r="M24" s="7"/>
      <c r="N24" s="7"/>
      <c r="O24" s="7"/>
      <c r="P24" s="7"/>
      <c r="Q24" s="7"/>
      <c r="R24" s="7"/>
      <c r="S24" s="7"/>
      <c r="T24" s="7"/>
      <c r="U24" s="7"/>
      <c r="V24" s="7"/>
      <c r="W24" s="7"/>
      <c r="X24" s="7"/>
      <c r="Y24" s="7"/>
      <c r="Z24" s="7"/>
    </row>
    <row r="25" ht="12.75" customHeight="1">
      <c r="A25" s="42"/>
      <c r="B25" s="11"/>
      <c r="C25" s="11"/>
      <c r="D25" s="11"/>
      <c r="E25" s="7"/>
      <c r="F25" s="11"/>
      <c r="G25" s="7"/>
      <c r="H25" s="11"/>
      <c r="I25" s="36"/>
      <c r="J25" s="7"/>
      <c r="K25" s="7"/>
      <c r="L25" s="7"/>
      <c r="M25" s="7"/>
      <c r="N25" s="7"/>
      <c r="O25" s="7"/>
      <c r="P25" s="7"/>
      <c r="Q25" s="7"/>
      <c r="R25" s="7"/>
      <c r="S25" s="7"/>
      <c r="T25" s="7"/>
      <c r="U25" s="7"/>
      <c r="V25" s="7"/>
      <c r="W25" s="7"/>
      <c r="X25" s="7"/>
      <c r="Y25" s="7"/>
      <c r="Z25" s="7"/>
    </row>
    <row r="26" ht="12.75" customHeight="1">
      <c r="A26" s="35" t="s">
        <v>33</v>
      </c>
      <c r="B26" s="11"/>
      <c r="C26" s="11"/>
      <c r="D26" s="11"/>
      <c r="E26" s="7"/>
      <c r="F26" s="11"/>
      <c r="G26" s="7"/>
      <c r="H26" s="11"/>
      <c r="I26" s="36"/>
      <c r="J26" s="7"/>
      <c r="K26" s="7"/>
      <c r="L26" s="7"/>
      <c r="M26" s="7"/>
      <c r="N26" s="7"/>
      <c r="O26" s="7"/>
      <c r="P26" s="7"/>
      <c r="Q26" s="7"/>
      <c r="R26" s="7"/>
      <c r="S26" s="7"/>
      <c r="T26" s="7"/>
      <c r="U26" s="7"/>
      <c r="V26" s="7"/>
      <c r="W26" s="7"/>
      <c r="X26" s="7"/>
      <c r="Y26" s="7"/>
      <c r="Z26" s="7"/>
    </row>
    <row r="27" ht="12.75" customHeight="1">
      <c r="A27" s="42"/>
      <c r="B27" s="11"/>
      <c r="C27" s="33"/>
      <c r="D27" s="11"/>
      <c r="E27" s="7"/>
      <c r="F27" s="44"/>
      <c r="G27" s="7"/>
      <c r="H27" s="11"/>
      <c r="I27" s="36"/>
      <c r="J27" s="7"/>
      <c r="K27" s="7"/>
      <c r="L27" s="7"/>
      <c r="M27" s="7"/>
      <c r="N27" s="7"/>
      <c r="O27" s="7"/>
      <c r="P27" s="7"/>
      <c r="Q27" s="7"/>
      <c r="R27" s="7"/>
      <c r="S27" s="7"/>
      <c r="T27" s="7"/>
      <c r="U27" s="7"/>
      <c r="V27" s="7"/>
      <c r="W27" s="7"/>
      <c r="X27" s="7"/>
      <c r="Y27" s="7"/>
      <c r="Z27" s="7"/>
    </row>
    <row r="28" ht="12.75" customHeight="1">
      <c r="A28" s="42"/>
      <c r="B28" s="11"/>
      <c r="C28" s="11"/>
      <c r="D28" s="11"/>
      <c r="E28" s="7"/>
      <c r="F28" s="44"/>
      <c r="G28" s="7"/>
      <c r="H28" s="11"/>
      <c r="I28" s="36"/>
      <c r="J28" s="7"/>
      <c r="K28" s="7"/>
      <c r="L28" s="7"/>
      <c r="M28" s="7"/>
      <c r="N28" s="7"/>
      <c r="O28" s="7"/>
      <c r="P28" s="7"/>
      <c r="Q28" s="7"/>
      <c r="R28" s="7"/>
      <c r="S28" s="7"/>
      <c r="T28" s="7"/>
      <c r="U28" s="7"/>
      <c r="V28" s="7"/>
      <c r="W28" s="7"/>
      <c r="X28" s="7"/>
      <c r="Y28" s="7"/>
      <c r="Z28" s="7"/>
    </row>
    <row r="29" ht="12.75" customHeight="1">
      <c r="A29" s="42"/>
      <c r="B29" s="11"/>
      <c r="C29" s="11"/>
      <c r="D29" s="11"/>
      <c r="E29" s="7"/>
      <c r="F29" s="44"/>
      <c r="G29" s="7"/>
      <c r="H29" s="11"/>
      <c r="I29" s="36"/>
      <c r="J29" s="7"/>
      <c r="K29" s="7"/>
      <c r="L29" s="7"/>
      <c r="M29" s="7"/>
      <c r="N29" s="7"/>
      <c r="O29" s="7"/>
      <c r="P29" s="7"/>
      <c r="Q29" s="7"/>
      <c r="R29" s="7"/>
      <c r="S29" s="7"/>
      <c r="T29" s="7"/>
      <c r="U29" s="7"/>
      <c r="V29" s="7"/>
      <c r="W29" s="7"/>
      <c r="X29" s="7"/>
      <c r="Y29" s="7"/>
      <c r="Z29" s="7"/>
    </row>
    <row r="30" ht="12.75" customHeight="1">
      <c r="A30" s="42"/>
      <c r="B30" s="11"/>
      <c r="C30" s="11"/>
      <c r="D30" s="11"/>
      <c r="E30" s="7"/>
      <c r="F30" s="44"/>
      <c r="G30" s="7"/>
      <c r="H30" s="11"/>
      <c r="I30" s="36"/>
      <c r="J30" s="7"/>
      <c r="K30" s="7"/>
      <c r="L30" s="7"/>
      <c r="M30" s="7"/>
      <c r="N30" s="7"/>
      <c r="O30" s="7"/>
      <c r="P30" s="7"/>
      <c r="Q30" s="7"/>
      <c r="R30" s="7"/>
      <c r="S30" s="7"/>
      <c r="T30" s="7"/>
      <c r="U30" s="7"/>
      <c r="V30" s="7"/>
      <c r="W30" s="7"/>
      <c r="X30" s="7"/>
      <c r="Y30" s="7"/>
      <c r="Z30" s="7"/>
    </row>
    <row r="31" ht="12.75" customHeight="1">
      <c r="A31" s="42"/>
      <c r="B31" s="11"/>
      <c r="C31" s="11"/>
      <c r="D31" s="11"/>
      <c r="E31" s="7"/>
      <c r="F31" s="11"/>
      <c r="G31" s="7"/>
      <c r="H31" s="11"/>
      <c r="I31" s="36"/>
      <c r="J31" s="7"/>
      <c r="K31" s="7"/>
      <c r="L31" s="7"/>
      <c r="M31" s="7"/>
      <c r="N31" s="7"/>
      <c r="O31" s="7"/>
      <c r="P31" s="7"/>
      <c r="Q31" s="7"/>
      <c r="R31" s="7"/>
      <c r="S31" s="7"/>
      <c r="T31" s="7"/>
      <c r="U31" s="7"/>
      <c r="V31" s="7"/>
      <c r="W31" s="7"/>
      <c r="X31" s="7"/>
      <c r="Y31" s="7"/>
      <c r="Z31" s="7"/>
    </row>
    <row r="32" ht="12.75" customHeight="1">
      <c r="A32" s="42"/>
      <c r="B32" s="11"/>
      <c r="C32" s="11"/>
      <c r="D32" s="11"/>
      <c r="E32" s="7"/>
      <c r="F32" s="11"/>
      <c r="G32" s="7"/>
      <c r="H32" s="11"/>
      <c r="I32" s="36"/>
      <c r="J32" s="7"/>
      <c r="K32" s="7"/>
      <c r="L32" s="7"/>
      <c r="M32" s="7"/>
      <c r="N32" s="7"/>
      <c r="O32" s="7"/>
      <c r="P32" s="7"/>
      <c r="Q32" s="7"/>
      <c r="R32" s="7"/>
      <c r="S32" s="7"/>
      <c r="T32" s="7"/>
      <c r="U32" s="7"/>
      <c r="V32" s="7"/>
      <c r="W32" s="7"/>
      <c r="X32" s="7"/>
      <c r="Y32" s="7"/>
      <c r="Z32" s="7"/>
    </row>
    <row r="33" ht="12.75" customHeight="1">
      <c r="A33" s="35"/>
      <c r="B33" s="11"/>
      <c r="C33" s="11"/>
      <c r="D33" s="11"/>
      <c r="E33" s="7"/>
      <c r="F33" s="11"/>
      <c r="G33" s="7"/>
      <c r="H33" s="11"/>
      <c r="I33" s="36"/>
      <c r="J33" s="7"/>
      <c r="K33" s="7"/>
      <c r="L33" s="7"/>
      <c r="M33" s="7"/>
      <c r="N33" s="7"/>
      <c r="O33" s="7"/>
      <c r="P33" s="7"/>
      <c r="Q33" s="7"/>
      <c r="R33" s="7"/>
      <c r="S33" s="7"/>
      <c r="T33" s="7"/>
      <c r="U33" s="7"/>
      <c r="V33" s="7"/>
      <c r="W33" s="7"/>
      <c r="X33" s="7"/>
      <c r="Y33" s="7"/>
      <c r="Z33" s="7"/>
    </row>
    <row r="34" ht="12.75" customHeight="1">
      <c r="A34" s="10"/>
      <c r="B34" s="11"/>
      <c r="C34" s="33"/>
      <c r="D34" s="11"/>
      <c r="E34" s="7"/>
      <c r="F34" s="44"/>
      <c r="G34" s="7"/>
      <c r="H34" s="11"/>
      <c r="I34" s="36"/>
      <c r="J34" s="7"/>
      <c r="K34" s="7"/>
      <c r="L34" s="7"/>
      <c r="M34" s="7"/>
      <c r="N34" s="7"/>
      <c r="O34" s="7"/>
      <c r="P34" s="7"/>
      <c r="Q34" s="7"/>
      <c r="R34" s="7"/>
      <c r="S34" s="7"/>
      <c r="T34" s="7"/>
      <c r="U34" s="7"/>
      <c r="V34" s="7"/>
      <c r="W34" s="7"/>
      <c r="X34" s="7"/>
      <c r="Y34" s="7"/>
      <c r="Z34" s="7"/>
    </row>
    <row r="35" ht="12.75" customHeight="1">
      <c r="A35" s="10"/>
      <c r="B35" s="11"/>
      <c r="C35" s="11"/>
      <c r="D35" s="11"/>
      <c r="E35" s="11"/>
      <c r="F35" s="11"/>
      <c r="G35" s="11"/>
      <c r="H35" s="11"/>
      <c r="I35" s="36"/>
      <c r="J35" s="7"/>
      <c r="K35" s="7"/>
      <c r="L35" s="7"/>
      <c r="M35" s="7"/>
      <c r="N35" s="7"/>
      <c r="O35" s="7"/>
      <c r="P35" s="7"/>
      <c r="Q35" s="7"/>
      <c r="R35" s="7"/>
      <c r="S35" s="7"/>
      <c r="T35" s="7"/>
      <c r="U35" s="7"/>
      <c r="V35" s="7"/>
      <c r="W35" s="7"/>
      <c r="X35" s="7"/>
      <c r="Y35" s="7"/>
      <c r="Z35" s="7"/>
    </row>
    <row r="36" ht="12.75" customHeight="1">
      <c r="A36" s="47"/>
      <c r="B36" s="51"/>
      <c r="C36" s="51"/>
      <c r="D36" s="51"/>
      <c r="E36" s="51"/>
      <c r="F36" s="51"/>
      <c r="G36" s="51"/>
      <c r="H36" s="51"/>
      <c r="I36" s="53"/>
      <c r="J36" s="7"/>
      <c r="K36" s="7"/>
      <c r="L36" s="7"/>
      <c r="M36" s="7"/>
      <c r="N36" s="7"/>
      <c r="O36" s="7"/>
      <c r="P36" s="7"/>
      <c r="Q36" s="7"/>
      <c r="R36" s="7"/>
      <c r="S36" s="7"/>
      <c r="T36" s="7"/>
      <c r="U36" s="7"/>
      <c r="V36" s="7"/>
      <c r="W36" s="7"/>
      <c r="X36" s="7"/>
      <c r="Y36" s="7"/>
      <c r="Z36" s="7"/>
    </row>
    <row r="37" ht="12.75" customHeight="1">
      <c r="A37" s="11"/>
      <c r="B37" s="11"/>
      <c r="C37" s="11"/>
      <c r="D37" s="11"/>
      <c r="E37" s="11"/>
      <c r="F37" s="11"/>
      <c r="G37" s="11"/>
      <c r="H37" s="11"/>
      <c r="I37" s="7"/>
      <c r="J37" s="7"/>
      <c r="K37" s="7"/>
      <c r="L37" s="7"/>
      <c r="M37" s="7"/>
      <c r="N37" s="7"/>
      <c r="O37" s="7"/>
      <c r="P37" s="7"/>
      <c r="Q37" s="7"/>
      <c r="R37" s="7"/>
      <c r="S37" s="7"/>
      <c r="T37" s="7"/>
      <c r="U37" s="7"/>
      <c r="V37" s="7"/>
      <c r="W37" s="7"/>
      <c r="X37" s="7"/>
      <c r="Y37" s="7"/>
      <c r="Z37" s="7"/>
    </row>
    <row r="38" ht="12.75" customHeight="1">
      <c r="A38" s="55" t="s">
        <v>36</v>
      </c>
      <c r="B38" s="24"/>
      <c r="C38" s="24"/>
      <c r="D38" s="24"/>
      <c r="E38" s="24"/>
      <c r="F38" s="14"/>
      <c r="G38" s="57"/>
      <c r="H38" s="7"/>
      <c r="I38" s="7"/>
      <c r="J38" s="7"/>
      <c r="K38" s="7"/>
      <c r="L38" s="7"/>
      <c r="M38" s="7"/>
      <c r="N38" s="7"/>
      <c r="O38" s="7"/>
      <c r="P38" s="7"/>
      <c r="Q38" s="7"/>
      <c r="R38" s="7"/>
      <c r="S38" s="7"/>
      <c r="T38" s="7"/>
      <c r="U38" s="7"/>
      <c r="V38" s="7"/>
      <c r="W38" s="7"/>
      <c r="X38" s="7"/>
      <c r="Y38" s="7"/>
      <c r="Z38" s="7"/>
    </row>
    <row r="39" ht="12.75" customHeight="1">
      <c r="A39" s="11"/>
      <c r="B39" s="11"/>
      <c r="C39" s="11"/>
      <c r="D39" s="11"/>
      <c r="E39" s="11"/>
      <c r="F39" s="11"/>
      <c r="G39" s="11"/>
      <c r="H39" s="7"/>
      <c r="I39" s="7"/>
      <c r="J39" s="7"/>
      <c r="K39" s="7"/>
      <c r="L39" s="7"/>
      <c r="M39" s="7"/>
      <c r="N39" s="7"/>
      <c r="O39" s="7"/>
      <c r="P39" s="7"/>
      <c r="Q39" s="7"/>
      <c r="R39" s="7"/>
      <c r="S39" s="7"/>
      <c r="T39" s="7"/>
      <c r="U39" s="7"/>
      <c r="V39" s="7"/>
      <c r="W39" s="7"/>
      <c r="X39" s="7"/>
      <c r="Y39" s="7"/>
      <c r="Z39" s="7"/>
    </row>
    <row r="40" ht="12.75" customHeight="1">
      <c r="A40" s="59" t="s">
        <v>40</v>
      </c>
      <c r="B40" s="59" t="s">
        <v>42</v>
      </c>
      <c r="C40" s="59" t="s">
        <v>43</v>
      </c>
      <c r="D40" s="59" t="s">
        <v>44</v>
      </c>
      <c r="E40" s="59" t="s">
        <v>45</v>
      </c>
      <c r="F40" s="59" t="s">
        <v>44</v>
      </c>
      <c r="G40" s="7"/>
      <c r="H40" s="7"/>
      <c r="I40" s="7"/>
      <c r="J40" s="7"/>
      <c r="K40" s="7"/>
      <c r="L40" s="7"/>
      <c r="M40" s="7"/>
      <c r="N40" s="7"/>
      <c r="O40" s="7"/>
      <c r="P40" s="7"/>
      <c r="Q40" s="7"/>
      <c r="R40" s="7"/>
      <c r="S40" s="7"/>
      <c r="T40" s="7"/>
      <c r="U40" s="7"/>
      <c r="V40" s="7"/>
      <c r="W40" s="7"/>
      <c r="X40" s="7"/>
      <c r="Y40" s="7"/>
      <c r="Z40" s="7"/>
    </row>
    <row r="41" ht="12.75" customHeight="1">
      <c r="A41" s="60" t="s">
        <v>47</v>
      </c>
      <c r="B41" s="61" t="s">
        <v>49</v>
      </c>
      <c r="C41" s="64" t="s">
        <v>50</v>
      </c>
      <c r="D41" s="65" t="s">
        <v>54</v>
      </c>
      <c r="E41" s="61"/>
      <c r="F41" s="61"/>
      <c r="G41" s="7"/>
      <c r="H41" s="7"/>
      <c r="I41" s="7"/>
      <c r="J41" s="7"/>
      <c r="K41" s="7"/>
      <c r="L41" s="7"/>
      <c r="M41" s="7"/>
      <c r="N41" s="7"/>
      <c r="O41" s="7"/>
      <c r="P41" s="7"/>
      <c r="Q41" s="7"/>
      <c r="R41" s="7"/>
      <c r="S41" s="7"/>
      <c r="T41" s="7"/>
      <c r="U41" s="7"/>
      <c r="V41" s="7"/>
      <c r="W41" s="7"/>
      <c r="X41" s="7"/>
      <c r="Y41" s="7"/>
      <c r="Z41" s="7"/>
    </row>
    <row r="42" ht="12.75" customHeight="1">
      <c r="A42" s="61"/>
      <c r="B42" s="61"/>
      <c r="C42" s="61" t="s">
        <v>59</v>
      </c>
      <c r="D42" s="65" t="s">
        <v>54</v>
      </c>
      <c r="E42" s="61"/>
      <c r="F42" s="61"/>
      <c r="G42" s="7"/>
      <c r="H42" s="7"/>
      <c r="I42" s="7"/>
      <c r="J42" s="7"/>
      <c r="K42" s="7"/>
      <c r="L42" s="7"/>
      <c r="M42" s="7"/>
      <c r="N42" s="7"/>
      <c r="O42" s="7"/>
      <c r="P42" s="7"/>
      <c r="Q42" s="7"/>
      <c r="R42" s="7"/>
      <c r="S42" s="7"/>
      <c r="T42" s="7"/>
      <c r="U42" s="7"/>
      <c r="V42" s="7"/>
      <c r="W42" s="7"/>
      <c r="X42" s="7"/>
      <c r="Y42" s="7"/>
      <c r="Z42" s="7"/>
    </row>
    <row r="43" ht="12.75" customHeight="1">
      <c r="A43" s="61"/>
      <c r="B43" s="61"/>
      <c r="C43" s="61"/>
      <c r="D43" s="61"/>
      <c r="E43" s="61"/>
      <c r="F43" s="61"/>
      <c r="G43" s="7"/>
      <c r="H43" s="7"/>
      <c r="I43" s="7"/>
      <c r="J43" s="7"/>
      <c r="K43" s="7"/>
      <c r="L43" s="7"/>
      <c r="M43" s="7"/>
      <c r="N43" s="7"/>
      <c r="O43" s="7"/>
      <c r="P43" s="7"/>
      <c r="Q43" s="7"/>
      <c r="R43" s="7"/>
      <c r="S43" s="7"/>
      <c r="T43" s="7"/>
      <c r="U43" s="7"/>
      <c r="V43" s="7"/>
      <c r="W43" s="7"/>
      <c r="X43" s="7"/>
      <c r="Y43" s="7"/>
      <c r="Z43" s="7"/>
    </row>
    <row r="44" ht="12.75" customHeight="1">
      <c r="A44" s="61"/>
      <c r="B44" s="61"/>
      <c r="C44" s="61"/>
      <c r="D44" s="61"/>
      <c r="E44" s="61"/>
      <c r="F44" s="61"/>
      <c r="G44" s="7"/>
      <c r="H44" s="7"/>
      <c r="I44" s="7"/>
      <c r="J44" s="7"/>
      <c r="K44" s="7"/>
      <c r="L44" s="7"/>
      <c r="M44" s="7"/>
      <c r="N44" s="7"/>
      <c r="O44" s="7"/>
      <c r="P44" s="7"/>
      <c r="Q44" s="7"/>
      <c r="R44" s="7"/>
      <c r="S44" s="7"/>
      <c r="T44" s="7"/>
      <c r="U44" s="7"/>
      <c r="V44" s="7"/>
      <c r="W44" s="7"/>
      <c r="X44" s="7"/>
      <c r="Y44" s="7"/>
      <c r="Z44" s="7"/>
    </row>
    <row r="45" ht="12.75" customHeight="1">
      <c r="A45" s="61"/>
      <c r="B45" s="61"/>
      <c r="C45" s="61"/>
      <c r="D45" s="61"/>
      <c r="E45" s="61"/>
      <c r="F45" s="61"/>
      <c r="G45" s="7"/>
      <c r="H45" s="7"/>
      <c r="I45" s="7"/>
      <c r="J45" s="7"/>
      <c r="K45" s="7"/>
      <c r="L45" s="7"/>
      <c r="M45" s="7"/>
      <c r="N45" s="7"/>
      <c r="O45" s="7"/>
      <c r="P45" s="7"/>
      <c r="Q45" s="7"/>
      <c r="R45" s="7"/>
      <c r="S45" s="7"/>
      <c r="T45" s="7"/>
      <c r="U45" s="7"/>
      <c r="V45" s="7"/>
      <c r="W45" s="7"/>
      <c r="X45" s="7"/>
      <c r="Y45" s="7"/>
      <c r="Z45" s="7"/>
    </row>
    <row r="46" ht="12.75" customHeight="1">
      <c r="A46" s="61"/>
      <c r="B46" s="61"/>
      <c r="C46" s="61"/>
      <c r="D46" s="61"/>
      <c r="E46" s="61"/>
      <c r="F46" s="61"/>
      <c r="G46" s="7"/>
      <c r="H46" s="7"/>
      <c r="I46" s="7"/>
      <c r="J46" s="7"/>
      <c r="K46" s="7"/>
      <c r="L46" s="7"/>
      <c r="M46" s="7"/>
      <c r="N46" s="7"/>
      <c r="O46" s="7"/>
      <c r="P46" s="7"/>
      <c r="Q46" s="7"/>
      <c r="R46" s="7"/>
      <c r="S46" s="7"/>
      <c r="T46" s="7"/>
      <c r="U46" s="7"/>
      <c r="V46" s="7"/>
      <c r="W46" s="7"/>
      <c r="X46" s="7"/>
      <c r="Y46" s="7"/>
      <c r="Z46" s="7"/>
    </row>
    <row r="47" ht="12.75" customHeight="1">
      <c r="A47" s="61"/>
      <c r="B47" s="61"/>
      <c r="C47" s="61"/>
      <c r="D47" s="61"/>
      <c r="E47" s="61"/>
      <c r="F47" s="61"/>
      <c r="G47" s="7"/>
      <c r="H47" s="7"/>
      <c r="I47" s="7"/>
      <c r="J47" s="7"/>
      <c r="K47" s="7"/>
      <c r="L47" s="7"/>
      <c r="M47" s="7"/>
      <c r="N47" s="7"/>
      <c r="O47" s="7"/>
      <c r="P47" s="7"/>
      <c r="Q47" s="7"/>
      <c r="R47" s="7"/>
      <c r="S47" s="7"/>
      <c r="T47" s="7"/>
      <c r="U47" s="7"/>
      <c r="V47" s="7"/>
      <c r="W47" s="7"/>
      <c r="X47" s="7"/>
      <c r="Y47" s="7"/>
      <c r="Z47" s="7"/>
    </row>
    <row r="48" ht="12.75" customHeight="1">
      <c r="A48" s="61"/>
      <c r="B48" s="61"/>
      <c r="C48" s="61"/>
      <c r="D48" s="61"/>
      <c r="E48" s="61"/>
      <c r="F48" s="61"/>
      <c r="G48" s="7"/>
      <c r="H48" s="7"/>
      <c r="I48" s="7"/>
      <c r="J48" s="7"/>
      <c r="K48" s="7"/>
      <c r="L48" s="7"/>
      <c r="M48" s="7"/>
      <c r="N48" s="7"/>
      <c r="O48" s="7"/>
      <c r="P48" s="7"/>
      <c r="Q48" s="7"/>
      <c r="R48" s="7"/>
      <c r="S48" s="7"/>
      <c r="T48" s="7"/>
      <c r="U48" s="7"/>
      <c r="V48" s="7"/>
      <c r="W48" s="7"/>
      <c r="X48" s="7"/>
      <c r="Y48" s="7"/>
      <c r="Z48" s="7"/>
    </row>
    <row r="49" ht="12.75" customHeight="1">
      <c r="A49" s="61"/>
      <c r="B49" s="61"/>
      <c r="C49" s="61"/>
      <c r="D49" s="61"/>
      <c r="E49" s="61"/>
      <c r="F49" s="61"/>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
    <mergeCell ref="A9:I9"/>
    <mergeCell ref="A10:I10"/>
    <mergeCell ref="A11:I11"/>
    <mergeCell ref="A38:F3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0"/>
  <cols>
    <col customWidth="1" min="1" max="1" width="10.86"/>
    <col customWidth="1" min="2" max="2" width="11.43"/>
    <col customWidth="1" min="3" max="3" width="11.0"/>
    <col customWidth="1" min="4" max="4" width="14.29"/>
    <col customWidth="1" min="5" max="5" width="17.14"/>
    <col customWidth="1" min="6" max="6" width="23.86"/>
    <col customWidth="1" min="7" max="7" width="37.43"/>
    <col customWidth="1" min="8" max="8" width="58.71"/>
    <col customWidth="1" min="9" max="21" width="9.0"/>
    <col customWidth="1" min="22" max="26" width="8.71"/>
  </cols>
  <sheetData>
    <row r="1" ht="12.75" customHeight="1">
      <c r="A1" s="8"/>
      <c r="B1" s="9"/>
      <c r="C1" s="9"/>
      <c r="D1" s="9"/>
      <c r="E1" s="9"/>
      <c r="F1" s="9"/>
      <c r="G1" s="12" t="s">
        <v>1</v>
      </c>
      <c r="H1" s="14"/>
      <c r="I1" s="15"/>
      <c r="J1" s="15"/>
      <c r="K1" s="15"/>
      <c r="L1" s="9"/>
      <c r="M1" s="9"/>
      <c r="N1" s="9"/>
      <c r="O1" s="9"/>
      <c r="P1" s="9"/>
      <c r="Q1" s="9"/>
      <c r="R1" s="9"/>
      <c r="S1" s="9"/>
      <c r="T1" s="9"/>
      <c r="U1" s="9"/>
      <c r="V1" s="9"/>
      <c r="W1" s="9"/>
      <c r="X1" s="9"/>
      <c r="Y1" s="9"/>
      <c r="Z1" s="9"/>
    </row>
    <row r="2" ht="12.75" customHeight="1">
      <c r="A2" s="8"/>
      <c r="B2" s="9"/>
      <c r="C2" s="9"/>
      <c r="D2" s="9"/>
      <c r="E2" s="9"/>
      <c r="F2" s="9"/>
      <c r="G2" s="17" t="s">
        <v>2</v>
      </c>
      <c r="H2" s="19" t="s">
        <v>3</v>
      </c>
      <c r="I2" s="15"/>
      <c r="J2" s="15"/>
      <c r="K2" s="15"/>
      <c r="L2" s="9"/>
      <c r="M2" s="9"/>
      <c r="N2" s="9"/>
      <c r="O2" s="9"/>
      <c r="P2" s="9"/>
      <c r="Q2" s="9"/>
      <c r="R2" s="9"/>
      <c r="S2" s="9"/>
      <c r="T2" s="9"/>
      <c r="U2" s="9"/>
      <c r="V2" s="9"/>
      <c r="W2" s="9"/>
      <c r="X2" s="9"/>
      <c r="Y2" s="9"/>
      <c r="Z2" s="9"/>
    </row>
    <row r="3" ht="12.75" customHeight="1">
      <c r="A3" s="8"/>
      <c r="B3" s="9"/>
      <c r="C3" s="9"/>
      <c r="D3" s="9"/>
      <c r="E3" s="9"/>
      <c r="F3" s="9"/>
      <c r="G3" s="17" t="s">
        <v>4</v>
      </c>
      <c r="H3" s="19" t="s">
        <v>5</v>
      </c>
      <c r="I3" s="15"/>
      <c r="J3" s="15"/>
      <c r="K3" s="15"/>
      <c r="L3" s="9"/>
      <c r="M3" s="9"/>
      <c r="N3" s="9"/>
      <c r="O3" s="9"/>
      <c r="P3" s="9"/>
      <c r="Q3" s="9"/>
      <c r="R3" s="9"/>
      <c r="S3" s="9"/>
      <c r="T3" s="9"/>
      <c r="U3" s="9"/>
      <c r="V3" s="9"/>
      <c r="W3" s="9"/>
      <c r="X3" s="9"/>
      <c r="Y3" s="9"/>
      <c r="Z3" s="9"/>
    </row>
    <row r="4" ht="12.75" customHeight="1">
      <c r="A4" s="8"/>
      <c r="B4" s="9"/>
      <c r="C4" s="9"/>
      <c r="D4" s="9"/>
      <c r="E4" s="9"/>
      <c r="F4" s="9"/>
      <c r="G4" s="17" t="s">
        <v>7</v>
      </c>
      <c r="H4" s="22">
        <f>COUNTIF($I$12:$I$1278,"P")</f>
        <v>0</v>
      </c>
      <c r="I4" s="15"/>
      <c r="J4" s="15"/>
      <c r="K4" s="15"/>
      <c r="L4" s="9"/>
      <c r="M4" s="9"/>
      <c r="N4" s="9"/>
      <c r="O4" s="9"/>
      <c r="P4" s="9"/>
      <c r="Q4" s="9"/>
      <c r="R4" s="9"/>
      <c r="S4" s="9"/>
      <c r="T4" s="9"/>
      <c r="U4" s="9"/>
      <c r="V4" s="9"/>
      <c r="W4" s="9"/>
      <c r="X4" s="9"/>
      <c r="Y4" s="9"/>
      <c r="Z4" s="9"/>
    </row>
    <row r="5" ht="12.75" customHeight="1">
      <c r="A5" s="8"/>
      <c r="B5" s="9"/>
      <c r="C5" s="9"/>
      <c r="D5" s="9"/>
      <c r="E5" s="9"/>
      <c r="F5" s="9"/>
      <c r="G5" s="17" t="s">
        <v>9</v>
      </c>
      <c r="H5" s="22">
        <f>COUNTIF($I$12:$I$1278,"F")</f>
        <v>0</v>
      </c>
      <c r="I5" s="15"/>
      <c r="J5" s="15"/>
      <c r="K5" s="15"/>
      <c r="L5" s="9"/>
      <c r="M5" s="9"/>
      <c r="N5" s="9"/>
      <c r="O5" s="9"/>
      <c r="P5" s="9"/>
      <c r="Q5" s="9"/>
      <c r="R5" s="9"/>
      <c r="S5" s="9"/>
      <c r="T5" s="9"/>
      <c r="U5" s="9"/>
      <c r="V5" s="9"/>
      <c r="W5" s="9"/>
      <c r="X5" s="9"/>
      <c r="Y5" s="9"/>
      <c r="Z5" s="9"/>
    </row>
    <row r="6" ht="12.75" customHeight="1">
      <c r="A6" s="8"/>
      <c r="B6" s="9"/>
      <c r="C6" s="9"/>
      <c r="D6" s="9"/>
      <c r="E6" s="9"/>
      <c r="F6" s="9"/>
      <c r="G6" s="17" t="s">
        <v>10</v>
      </c>
      <c r="H6" s="22">
        <f>COUNTIF($I$12:$I$1278,"PE")</f>
        <v>0</v>
      </c>
      <c r="I6" s="15"/>
      <c r="J6" s="15"/>
      <c r="K6" s="15"/>
      <c r="L6" s="9"/>
      <c r="M6" s="9"/>
      <c r="N6" s="9"/>
      <c r="O6" s="9"/>
      <c r="P6" s="9"/>
      <c r="Q6" s="9"/>
      <c r="R6" s="9"/>
      <c r="S6" s="9"/>
      <c r="T6" s="9"/>
      <c r="U6" s="9"/>
      <c r="V6" s="9"/>
      <c r="W6" s="9"/>
      <c r="X6" s="9"/>
      <c r="Y6" s="9"/>
      <c r="Z6" s="9"/>
    </row>
    <row r="7" ht="12.75" customHeight="1">
      <c r="A7" s="8"/>
      <c r="B7" s="9"/>
      <c r="C7" s="9"/>
      <c r="D7" s="9"/>
      <c r="E7" s="9"/>
      <c r="F7" s="9"/>
      <c r="G7" s="17" t="s">
        <v>11</v>
      </c>
      <c r="H7" s="22">
        <f>H8-H4-H5-H6</f>
        <v>495</v>
      </c>
      <c r="I7" s="15"/>
      <c r="J7" s="15"/>
      <c r="K7" s="15"/>
      <c r="L7" s="9"/>
      <c r="M7" s="9"/>
      <c r="N7" s="9"/>
      <c r="O7" s="9"/>
      <c r="P7" s="9"/>
      <c r="Q7" s="9"/>
      <c r="R7" s="9"/>
      <c r="S7" s="9"/>
      <c r="T7" s="9"/>
      <c r="U7" s="9"/>
      <c r="V7" s="9"/>
      <c r="W7" s="9"/>
      <c r="X7" s="9"/>
      <c r="Y7" s="9"/>
      <c r="Z7" s="9"/>
    </row>
    <row r="8" ht="12.75" customHeight="1">
      <c r="A8" s="8"/>
      <c r="B8" s="9"/>
      <c r="C8" s="9"/>
      <c r="D8" s="9"/>
      <c r="E8" s="9"/>
      <c r="F8" s="9"/>
      <c r="G8" s="17" t="s">
        <v>12</v>
      </c>
      <c r="H8" s="22">
        <f>COUNTA($H$12:$H$1278)</f>
        <v>495</v>
      </c>
      <c r="I8" s="15"/>
      <c r="J8" s="15"/>
      <c r="K8" s="15"/>
      <c r="L8" s="9"/>
      <c r="M8" s="9"/>
      <c r="N8" s="9"/>
      <c r="O8" s="9"/>
      <c r="P8" s="9"/>
      <c r="Q8" s="9"/>
      <c r="R8" s="9"/>
      <c r="S8" s="9"/>
      <c r="T8" s="9"/>
      <c r="U8" s="9"/>
      <c r="V8" s="9"/>
      <c r="W8" s="9"/>
      <c r="X8" s="9"/>
      <c r="Y8" s="9"/>
      <c r="Z8" s="9"/>
    </row>
    <row r="9" ht="12.75" customHeight="1">
      <c r="A9" s="8"/>
      <c r="B9" s="9"/>
      <c r="C9" s="9"/>
      <c r="D9" s="9"/>
      <c r="E9" s="9"/>
      <c r="F9" s="9"/>
      <c r="G9" s="9"/>
      <c r="H9" s="9"/>
      <c r="I9" s="15"/>
      <c r="J9" s="15"/>
      <c r="K9" s="15"/>
      <c r="L9" s="9"/>
      <c r="M9" s="9"/>
      <c r="N9" s="9"/>
      <c r="O9" s="9"/>
      <c r="P9" s="9"/>
      <c r="Q9" s="9"/>
      <c r="R9" s="9"/>
      <c r="S9" s="9"/>
      <c r="T9" s="9"/>
      <c r="U9" s="9"/>
      <c r="V9" s="9"/>
      <c r="W9" s="9"/>
      <c r="X9" s="9"/>
      <c r="Y9" s="9"/>
      <c r="Z9" s="9"/>
    </row>
    <row r="10" ht="12.75" customHeight="1">
      <c r="A10" s="28" t="s">
        <v>13</v>
      </c>
      <c r="B10" s="28" t="s">
        <v>14</v>
      </c>
      <c r="C10" s="28" t="s">
        <v>15</v>
      </c>
      <c r="D10" s="28" t="s">
        <v>16</v>
      </c>
      <c r="E10" s="28" t="s">
        <v>17</v>
      </c>
      <c r="F10" s="28" t="s">
        <v>18</v>
      </c>
      <c r="G10" s="28" t="s">
        <v>19</v>
      </c>
      <c r="H10" s="28" t="s">
        <v>20</v>
      </c>
      <c r="I10" s="28" t="s">
        <v>21</v>
      </c>
      <c r="J10" s="28" t="s">
        <v>22</v>
      </c>
      <c r="K10" s="28" t="s">
        <v>23</v>
      </c>
      <c r="L10" s="9"/>
      <c r="M10" s="9"/>
      <c r="N10" s="9"/>
      <c r="O10" s="9"/>
      <c r="P10" s="9"/>
      <c r="Q10" s="9"/>
      <c r="R10" s="9"/>
      <c r="S10" s="9"/>
      <c r="T10" s="9"/>
      <c r="U10" s="9"/>
      <c r="V10" s="9"/>
      <c r="W10" s="9"/>
      <c r="X10" s="9"/>
      <c r="Y10" s="9"/>
      <c r="Z10" s="9"/>
    </row>
    <row r="11" ht="13.5" customHeight="1">
      <c r="A11" s="32"/>
      <c r="B11" s="32"/>
      <c r="C11" s="32"/>
      <c r="D11" s="32"/>
      <c r="E11" s="32"/>
      <c r="F11" s="32"/>
      <c r="G11" s="32"/>
      <c r="H11" s="32"/>
      <c r="I11" s="32"/>
      <c r="J11" s="32"/>
      <c r="K11" s="32"/>
      <c r="L11" s="9"/>
      <c r="M11" s="9"/>
      <c r="N11" s="9"/>
      <c r="O11" s="9"/>
      <c r="P11" s="9"/>
      <c r="Q11" s="9"/>
      <c r="R11" s="9"/>
      <c r="S11" s="9"/>
      <c r="T11" s="9"/>
      <c r="U11" s="9"/>
      <c r="V11" s="9"/>
      <c r="W11" s="9"/>
      <c r="X11" s="9"/>
      <c r="Y11" s="9"/>
      <c r="Z11" s="9"/>
    </row>
    <row r="12" ht="19.5" customHeight="1">
      <c r="A12" s="37" t="str">
        <f t="shared" ref="A12:A44" si="1">IF(AND(H12="",H12=""),"",$H$3&amp;"_"&amp;ROW()-11-COUNTBLANK($H$12:H12))</f>
        <v/>
      </c>
      <c r="B12" s="39" t="s">
        <v>32</v>
      </c>
      <c r="C12" s="41"/>
      <c r="D12" s="41"/>
      <c r="E12" s="41"/>
      <c r="F12" s="41"/>
      <c r="G12" s="41"/>
      <c r="H12" s="43"/>
      <c r="I12" s="45"/>
      <c r="J12" s="45"/>
      <c r="K12" s="46"/>
      <c r="L12" s="15"/>
      <c r="M12" s="15"/>
      <c r="N12" s="15"/>
      <c r="O12" s="15"/>
      <c r="P12" s="15"/>
      <c r="Q12" s="15"/>
      <c r="R12" s="15"/>
      <c r="S12" s="15"/>
      <c r="T12" s="15"/>
      <c r="U12" s="15"/>
      <c r="V12" s="15"/>
      <c r="W12" s="15"/>
      <c r="X12" s="15"/>
      <c r="Y12" s="15"/>
      <c r="Z12" s="15"/>
    </row>
    <row r="13" ht="17.25" customHeight="1">
      <c r="A13" s="37" t="str">
        <f t="shared" si="1"/>
        <v/>
      </c>
      <c r="B13" s="48" t="s">
        <v>34</v>
      </c>
      <c r="C13" s="49"/>
      <c r="D13" s="49"/>
      <c r="E13" s="49"/>
      <c r="F13" s="49"/>
      <c r="G13" s="50"/>
      <c r="H13" s="50"/>
      <c r="I13" s="50"/>
      <c r="J13" s="50"/>
      <c r="K13" s="52"/>
      <c r="L13" s="15"/>
      <c r="M13" s="15"/>
      <c r="N13" s="15"/>
      <c r="O13" s="15"/>
      <c r="P13" s="15"/>
      <c r="Q13" s="15"/>
      <c r="R13" s="15"/>
      <c r="S13" s="15"/>
      <c r="T13" s="15"/>
      <c r="U13" s="15"/>
      <c r="V13" s="15"/>
      <c r="W13" s="15"/>
      <c r="X13" s="15"/>
      <c r="Y13" s="15"/>
      <c r="Z13" s="15"/>
    </row>
    <row r="14" ht="12.75" customHeight="1">
      <c r="A14" s="37" t="str">
        <f t="shared" si="1"/>
        <v>ST_1</v>
      </c>
      <c r="B14" s="54" t="s">
        <v>35</v>
      </c>
      <c r="C14" s="56" t="s">
        <v>37</v>
      </c>
      <c r="D14" s="54" t="s">
        <v>38</v>
      </c>
      <c r="E14" s="58" t="s">
        <v>39</v>
      </c>
      <c r="F14" s="54" t="s">
        <v>41</v>
      </c>
      <c r="G14" s="56" t="s">
        <v>46</v>
      </c>
      <c r="H14" s="19" t="s">
        <v>48</v>
      </c>
      <c r="I14" s="62"/>
      <c r="J14" s="63"/>
      <c r="K14" s="63"/>
      <c r="L14" s="15"/>
      <c r="M14" s="15"/>
      <c r="N14" s="15"/>
      <c r="O14" s="15"/>
      <c r="P14" s="15"/>
      <c r="Q14" s="15"/>
      <c r="R14" s="15"/>
      <c r="S14" s="15"/>
      <c r="T14" s="15"/>
      <c r="U14" s="15"/>
      <c r="V14" s="15"/>
      <c r="W14" s="15"/>
      <c r="X14" s="15"/>
      <c r="Y14" s="15"/>
      <c r="Z14" s="15"/>
    </row>
    <row r="15" ht="118.5" customHeight="1">
      <c r="A15" s="37" t="str">
        <f t="shared" si="1"/>
        <v>ST_2</v>
      </c>
      <c r="B15" s="54" t="s">
        <v>35</v>
      </c>
      <c r="C15" s="56"/>
      <c r="D15" s="54" t="s">
        <v>51</v>
      </c>
      <c r="E15" s="58" t="s">
        <v>39</v>
      </c>
      <c r="F15" s="58" t="s">
        <v>52</v>
      </c>
      <c r="G15" s="56" t="s">
        <v>53</v>
      </c>
      <c r="H15" s="19" t="s">
        <v>55</v>
      </c>
      <c r="I15" s="62"/>
      <c r="J15" s="63"/>
      <c r="K15" s="63"/>
      <c r="L15" s="15"/>
      <c r="M15" s="15"/>
      <c r="N15" s="15"/>
      <c r="O15" s="15"/>
      <c r="P15" s="15"/>
      <c r="Q15" s="15"/>
      <c r="R15" s="15"/>
      <c r="S15" s="15"/>
      <c r="T15" s="15"/>
      <c r="U15" s="15"/>
      <c r="V15" s="15"/>
      <c r="W15" s="15"/>
      <c r="X15" s="15"/>
      <c r="Y15" s="15"/>
      <c r="Z15" s="15"/>
    </row>
    <row r="16" ht="12.75" customHeight="1">
      <c r="A16" s="37" t="str">
        <f t="shared" si="1"/>
        <v>ST_3</v>
      </c>
      <c r="B16" s="54" t="s">
        <v>35</v>
      </c>
      <c r="C16" s="56" t="s">
        <v>37</v>
      </c>
      <c r="D16" s="56" t="s">
        <v>56</v>
      </c>
      <c r="E16" s="56" t="s">
        <v>39</v>
      </c>
      <c r="F16" s="56" t="s">
        <v>57</v>
      </c>
      <c r="G16" s="66" t="s">
        <v>58</v>
      </c>
      <c r="H16" s="19" t="s">
        <v>60</v>
      </c>
      <c r="I16" s="62"/>
      <c r="J16" s="63"/>
      <c r="K16" s="63"/>
      <c r="L16" s="15"/>
      <c r="M16" s="15"/>
      <c r="N16" s="15"/>
      <c r="O16" s="15"/>
      <c r="P16" s="15"/>
      <c r="Q16" s="15"/>
      <c r="R16" s="15"/>
      <c r="S16" s="15"/>
      <c r="T16" s="15"/>
      <c r="U16" s="15"/>
      <c r="V16" s="15"/>
      <c r="W16" s="15"/>
      <c r="X16" s="15"/>
      <c r="Y16" s="15"/>
      <c r="Z16" s="15"/>
    </row>
    <row r="17" ht="12.75" customHeight="1">
      <c r="A17" s="37" t="str">
        <f t="shared" si="1"/>
        <v>ST_4</v>
      </c>
      <c r="B17" s="54" t="s">
        <v>35</v>
      </c>
      <c r="C17" s="56" t="s">
        <v>37</v>
      </c>
      <c r="D17" s="66" t="s">
        <v>61</v>
      </c>
      <c r="E17" s="56" t="s">
        <v>39</v>
      </c>
      <c r="F17" s="66" t="s">
        <v>62</v>
      </c>
      <c r="G17" s="66" t="s">
        <v>63</v>
      </c>
      <c r="H17" s="67" t="s">
        <v>64</v>
      </c>
      <c r="I17" s="62"/>
      <c r="J17" s="63"/>
      <c r="K17" s="63"/>
      <c r="L17" s="15"/>
      <c r="M17" s="15"/>
      <c r="N17" s="15"/>
      <c r="O17" s="15"/>
      <c r="P17" s="15"/>
      <c r="Q17" s="15"/>
      <c r="R17" s="15"/>
      <c r="S17" s="15"/>
      <c r="T17" s="15"/>
      <c r="U17" s="15"/>
      <c r="V17" s="15"/>
      <c r="W17" s="15"/>
      <c r="X17" s="15"/>
      <c r="Y17" s="15"/>
      <c r="Z17" s="15"/>
    </row>
    <row r="18" ht="297.0" customHeight="1">
      <c r="A18" s="37" t="str">
        <f t="shared" si="1"/>
        <v>ST_5</v>
      </c>
      <c r="B18" s="54" t="s">
        <v>35</v>
      </c>
      <c r="C18" s="56" t="s">
        <v>65</v>
      </c>
      <c r="D18" s="68" t="s">
        <v>66</v>
      </c>
      <c r="E18" s="56" t="s">
        <v>39</v>
      </c>
      <c r="F18" s="68" t="s">
        <v>67</v>
      </c>
      <c r="G18" s="56" t="s">
        <v>68</v>
      </c>
      <c r="H18" s="67" t="s">
        <v>69</v>
      </c>
      <c r="I18" s="62"/>
      <c r="J18" s="63"/>
      <c r="K18" s="63"/>
      <c r="L18" s="15"/>
      <c r="M18" s="15"/>
      <c r="N18" s="15"/>
      <c r="O18" s="15"/>
      <c r="P18" s="15"/>
      <c r="Q18" s="15"/>
      <c r="R18" s="15"/>
      <c r="S18" s="15"/>
      <c r="T18" s="15"/>
      <c r="U18" s="15"/>
      <c r="V18" s="15"/>
      <c r="W18" s="15"/>
      <c r="X18" s="15"/>
      <c r="Y18" s="15"/>
      <c r="Z18" s="15"/>
    </row>
    <row r="19" ht="12.75" customHeight="1">
      <c r="A19" s="37" t="str">
        <f t="shared" si="1"/>
        <v>ST_6</v>
      </c>
      <c r="B19" s="54" t="s">
        <v>35</v>
      </c>
      <c r="C19" s="56" t="s">
        <v>65</v>
      </c>
      <c r="D19" s="56" t="s">
        <v>70</v>
      </c>
      <c r="E19" s="56" t="s">
        <v>39</v>
      </c>
      <c r="F19" s="56" t="s">
        <v>57</v>
      </c>
      <c r="G19" s="56" t="s">
        <v>71</v>
      </c>
      <c r="H19" s="19" t="s">
        <v>72</v>
      </c>
      <c r="I19" s="62"/>
      <c r="J19" s="63"/>
      <c r="K19" s="63"/>
      <c r="L19" s="15"/>
      <c r="M19" s="15"/>
      <c r="N19" s="15"/>
      <c r="O19" s="15"/>
      <c r="P19" s="15"/>
      <c r="Q19" s="15"/>
      <c r="R19" s="15"/>
      <c r="S19" s="15"/>
      <c r="T19" s="15"/>
      <c r="U19" s="15"/>
      <c r="V19" s="15"/>
      <c r="W19" s="15"/>
      <c r="X19" s="15"/>
      <c r="Y19" s="15"/>
      <c r="Z19" s="15"/>
    </row>
    <row r="20" ht="12.75" customHeight="1">
      <c r="A20" s="37" t="str">
        <f t="shared" si="1"/>
        <v>ST_7</v>
      </c>
      <c r="B20" s="54" t="s">
        <v>35</v>
      </c>
      <c r="C20" s="58" t="s">
        <v>37</v>
      </c>
      <c r="D20" s="58" t="s">
        <v>73</v>
      </c>
      <c r="E20" s="58" t="s">
        <v>39</v>
      </c>
      <c r="F20" s="58" t="s">
        <v>74</v>
      </c>
      <c r="G20" s="56" t="s">
        <v>75</v>
      </c>
      <c r="H20" s="67" t="s">
        <v>76</v>
      </c>
      <c r="I20" s="62"/>
      <c r="J20" s="63"/>
      <c r="K20" s="63"/>
      <c r="L20" s="15"/>
      <c r="M20" s="15"/>
      <c r="N20" s="15"/>
      <c r="O20" s="15"/>
      <c r="P20" s="15"/>
      <c r="Q20" s="15"/>
      <c r="R20" s="15"/>
      <c r="S20" s="15"/>
      <c r="T20" s="15"/>
      <c r="U20" s="15"/>
      <c r="V20" s="15"/>
      <c r="W20" s="15"/>
      <c r="X20" s="15"/>
      <c r="Y20" s="15"/>
      <c r="Z20" s="15"/>
    </row>
    <row r="21" ht="57.75" customHeight="1">
      <c r="A21" s="37" t="str">
        <f t="shared" si="1"/>
        <v>ST_8</v>
      </c>
      <c r="B21" s="32"/>
      <c r="C21" s="32"/>
      <c r="D21" s="32"/>
      <c r="E21" s="32"/>
      <c r="F21" s="32"/>
      <c r="G21" s="56" t="s">
        <v>77</v>
      </c>
      <c r="H21" s="67" t="s">
        <v>78</v>
      </c>
      <c r="I21" s="62"/>
      <c r="J21" s="63"/>
      <c r="K21" s="63"/>
      <c r="L21" s="15"/>
      <c r="M21" s="15"/>
      <c r="N21" s="15"/>
      <c r="O21" s="15"/>
      <c r="P21" s="15"/>
      <c r="Q21" s="15"/>
      <c r="R21" s="15"/>
      <c r="S21" s="15"/>
      <c r="T21" s="15"/>
      <c r="U21" s="15"/>
      <c r="V21" s="15"/>
      <c r="W21" s="15"/>
      <c r="X21" s="15"/>
      <c r="Y21" s="15"/>
      <c r="Z21" s="15"/>
    </row>
    <row r="22" ht="12.75" customHeight="1">
      <c r="A22" s="37" t="str">
        <f t="shared" si="1"/>
        <v>ST_9</v>
      </c>
      <c r="B22" s="66" t="s">
        <v>35</v>
      </c>
      <c r="C22" s="56" t="s">
        <v>37</v>
      </c>
      <c r="D22" s="56" t="s">
        <v>79</v>
      </c>
      <c r="E22" s="56" t="s">
        <v>39</v>
      </c>
      <c r="F22" s="66" t="s">
        <v>80</v>
      </c>
      <c r="G22" s="66" t="s">
        <v>81</v>
      </c>
      <c r="H22" s="19" t="s">
        <v>82</v>
      </c>
      <c r="I22" s="62"/>
      <c r="J22" s="63"/>
      <c r="K22" s="63"/>
      <c r="L22" s="15"/>
      <c r="M22" s="15"/>
      <c r="N22" s="15"/>
      <c r="O22" s="15"/>
      <c r="P22" s="15"/>
      <c r="Q22" s="15"/>
      <c r="R22" s="15"/>
      <c r="S22" s="15"/>
      <c r="T22" s="15"/>
      <c r="U22" s="15"/>
      <c r="V22" s="15"/>
      <c r="W22" s="15"/>
      <c r="X22" s="15"/>
      <c r="Y22" s="15"/>
      <c r="Z22" s="15"/>
    </row>
    <row r="23" ht="12.75" customHeight="1">
      <c r="A23" s="37" t="str">
        <f t="shared" si="1"/>
        <v>ST_10</v>
      </c>
      <c r="B23" s="54" t="s">
        <v>35</v>
      </c>
      <c r="C23" s="69" t="s">
        <v>37</v>
      </c>
      <c r="D23" s="70" t="s">
        <v>83</v>
      </c>
      <c r="E23" s="71" t="s">
        <v>39</v>
      </c>
      <c r="F23" s="54" t="s">
        <v>84</v>
      </c>
      <c r="G23" s="66" t="s">
        <v>85</v>
      </c>
      <c r="H23" s="67" t="s">
        <v>86</v>
      </c>
      <c r="I23" s="62"/>
      <c r="J23" s="63"/>
      <c r="K23" s="63"/>
      <c r="L23" s="15"/>
      <c r="M23" s="15"/>
      <c r="N23" s="15"/>
      <c r="O23" s="15"/>
      <c r="P23" s="15"/>
      <c r="Q23" s="15"/>
      <c r="R23" s="15"/>
      <c r="S23" s="15"/>
      <c r="T23" s="15"/>
      <c r="U23" s="15"/>
      <c r="V23" s="15"/>
      <c r="W23" s="15"/>
      <c r="X23" s="15"/>
      <c r="Y23" s="15"/>
      <c r="Z23" s="15"/>
    </row>
    <row r="24" ht="14.25" customHeight="1">
      <c r="A24" s="37" t="str">
        <f t="shared" si="1"/>
        <v>ST_11</v>
      </c>
      <c r="B24" s="32"/>
      <c r="C24" s="32"/>
      <c r="D24" s="72"/>
      <c r="E24" s="32"/>
      <c r="F24" s="32"/>
      <c r="G24" s="56" t="s">
        <v>87</v>
      </c>
      <c r="H24" s="67" t="s">
        <v>88</v>
      </c>
      <c r="I24" s="62"/>
      <c r="J24" s="63"/>
      <c r="K24" s="63"/>
      <c r="L24" s="15"/>
      <c r="M24" s="15"/>
      <c r="N24" s="15"/>
      <c r="O24" s="15"/>
      <c r="P24" s="15"/>
      <c r="Q24" s="15"/>
      <c r="R24" s="15"/>
      <c r="S24" s="15"/>
      <c r="T24" s="15"/>
      <c r="U24" s="15"/>
      <c r="V24" s="15"/>
      <c r="W24" s="15"/>
      <c r="X24" s="15"/>
      <c r="Y24" s="15"/>
      <c r="Z24" s="15"/>
    </row>
    <row r="25" ht="43.5" customHeight="1">
      <c r="A25" s="37" t="str">
        <f t="shared" si="1"/>
        <v>ST_12</v>
      </c>
      <c r="B25" s="66" t="s">
        <v>35</v>
      </c>
      <c r="C25" s="56" t="s">
        <v>89</v>
      </c>
      <c r="D25" s="56" t="s">
        <v>90</v>
      </c>
      <c r="E25" s="56" t="s">
        <v>91</v>
      </c>
      <c r="F25" s="56" t="s">
        <v>92</v>
      </c>
      <c r="G25" s="56" t="s">
        <v>93</v>
      </c>
      <c r="H25" s="19" t="s">
        <v>94</v>
      </c>
      <c r="I25" s="62"/>
      <c r="J25" s="63"/>
      <c r="K25" s="63"/>
      <c r="L25" s="15"/>
      <c r="M25" s="15"/>
      <c r="N25" s="15"/>
      <c r="O25" s="15"/>
      <c r="P25" s="15"/>
      <c r="Q25" s="15"/>
      <c r="R25" s="15"/>
      <c r="S25" s="15"/>
      <c r="T25" s="15"/>
      <c r="U25" s="15"/>
      <c r="V25" s="15"/>
      <c r="W25" s="15"/>
      <c r="X25" s="15"/>
      <c r="Y25" s="15"/>
      <c r="Z25" s="15"/>
    </row>
    <row r="26" ht="12.75" customHeight="1">
      <c r="A26" s="37" t="str">
        <f t="shared" si="1"/>
        <v>ST_13</v>
      </c>
      <c r="B26" s="54" t="s">
        <v>35</v>
      </c>
      <c r="C26" s="58" t="s">
        <v>89</v>
      </c>
      <c r="D26" s="58" t="s">
        <v>95</v>
      </c>
      <c r="E26" s="58" t="s">
        <v>91</v>
      </c>
      <c r="F26" s="58" t="s">
        <v>96</v>
      </c>
      <c r="G26" s="56" t="s">
        <v>97</v>
      </c>
      <c r="H26" s="67" t="s">
        <v>98</v>
      </c>
      <c r="I26" s="62"/>
      <c r="J26" s="63"/>
      <c r="K26" s="63"/>
      <c r="L26" s="15"/>
      <c r="M26" s="15"/>
      <c r="N26" s="15"/>
      <c r="O26" s="15"/>
      <c r="P26" s="15"/>
      <c r="Q26" s="15"/>
      <c r="R26" s="15"/>
      <c r="S26" s="15"/>
      <c r="T26" s="15"/>
      <c r="U26" s="15"/>
      <c r="V26" s="15"/>
      <c r="W26" s="15"/>
      <c r="X26" s="15"/>
      <c r="Y26" s="15"/>
      <c r="Z26" s="15"/>
    </row>
    <row r="27" ht="12.75" customHeight="1">
      <c r="A27" s="37" t="str">
        <f t="shared" si="1"/>
        <v>ST_14</v>
      </c>
      <c r="B27" s="73"/>
      <c r="C27" s="32"/>
      <c r="D27" s="32"/>
      <c r="E27" s="73"/>
      <c r="F27" s="73"/>
      <c r="G27" s="56" t="s">
        <v>99</v>
      </c>
      <c r="H27" s="19" t="s">
        <v>100</v>
      </c>
      <c r="I27" s="62"/>
      <c r="J27" s="63"/>
      <c r="K27" s="63"/>
      <c r="L27" s="15"/>
      <c r="M27" s="15"/>
      <c r="N27" s="15"/>
      <c r="O27" s="15"/>
      <c r="P27" s="15"/>
      <c r="Q27" s="15"/>
      <c r="R27" s="15"/>
      <c r="S27" s="15"/>
      <c r="T27" s="15"/>
      <c r="U27" s="15"/>
      <c r="V27" s="15"/>
      <c r="W27" s="15"/>
      <c r="X27" s="15"/>
      <c r="Y27" s="15"/>
      <c r="Z27" s="15"/>
    </row>
    <row r="28" ht="24.75" customHeight="1">
      <c r="A28" s="37" t="str">
        <f t="shared" si="1"/>
        <v>ST_15</v>
      </c>
      <c r="B28" s="73"/>
      <c r="C28" s="74" t="s">
        <v>37</v>
      </c>
      <c r="D28" s="68"/>
      <c r="E28" s="56" t="s">
        <v>101</v>
      </c>
      <c r="F28" s="66" t="s">
        <v>102</v>
      </c>
      <c r="G28" s="56" t="s">
        <v>103</v>
      </c>
      <c r="H28" s="19" t="s">
        <v>104</v>
      </c>
      <c r="I28" s="62"/>
      <c r="J28" s="63"/>
      <c r="K28" s="63"/>
      <c r="L28" s="15"/>
      <c r="M28" s="15"/>
      <c r="N28" s="15"/>
      <c r="O28" s="15"/>
      <c r="P28" s="15"/>
      <c r="Q28" s="15"/>
      <c r="R28" s="15"/>
      <c r="S28" s="15"/>
      <c r="T28" s="15"/>
      <c r="U28" s="15"/>
      <c r="V28" s="15"/>
      <c r="W28" s="15"/>
      <c r="X28" s="15"/>
      <c r="Y28" s="15"/>
      <c r="Z28" s="15"/>
    </row>
    <row r="29" ht="12.75" customHeight="1">
      <c r="A29" s="37" t="str">
        <f t="shared" si="1"/>
        <v>ST_16</v>
      </c>
      <c r="B29" s="54" t="s">
        <v>35</v>
      </c>
      <c r="C29" s="58" t="s">
        <v>89</v>
      </c>
      <c r="D29" s="58" t="s">
        <v>105</v>
      </c>
      <c r="E29" s="58" t="s">
        <v>91</v>
      </c>
      <c r="F29" s="58" t="s">
        <v>106</v>
      </c>
      <c r="G29" s="56" t="s">
        <v>107</v>
      </c>
      <c r="H29" s="67" t="s">
        <v>108</v>
      </c>
      <c r="I29" s="62"/>
      <c r="J29" s="63"/>
      <c r="K29" s="63"/>
      <c r="L29" s="15"/>
      <c r="M29" s="15"/>
      <c r="N29" s="15"/>
      <c r="O29" s="15"/>
      <c r="P29" s="15"/>
      <c r="Q29" s="15"/>
      <c r="R29" s="15"/>
      <c r="S29" s="15"/>
      <c r="T29" s="15"/>
      <c r="U29" s="15"/>
      <c r="V29" s="15"/>
      <c r="W29" s="15"/>
      <c r="X29" s="15"/>
      <c r="Y29" s="15"/>
      <c r="Z29" s="15"/>
    </row>
    <row r="30" ht="12.75" customHeight="1">
      <c r="A30" s="37" t="str">
        <f t="shared" si="1"/>
        <v>ST_17</v>
      </c>
      <c r="B30" s="73"/>
      <c r="C30" s="32"/>
      <c r="D30" s="32"/>
      <c r="E30" s="32"/>
      <c r="F30" s="32"/>
      <c r="G30" s="56" t="s">
        <v>109</v>
      </c>
      <c r="H30" s="19" t="s">
        <v>110</v>
      </c>
      <c r="I30" s="62"/>
      <c r="J30" s="63"/>
      <c r="K30" s="63"/>
      <c r="L30" s="15"/>
      <c r="M30" s="15"/>
      <c r="N30" s="15"/>
      <c r="O30" s="15"/>
      <c r="P30" s="15"/>
      <c r="Q30" s="15"/>
      <c r="R30" s="15"/>
      <c r="S30" s="15"/>
      <c r="T30" s="15"/>
      <c r="U30" s="15"/>
      <c r="V30" s="15"/>
      <c r="W30" s="15"/>
      <c r="X30" s="15"/>
      <c r="Y30" s="15"/>
      <c r="Z30" s="15"/>
    </row>
    <row r="31" ht="64.5" customHeight="1">
      <c r="A31" s="37" t="str">
        <f t="shared" si="1"/>
        <v>ST_18</v>
      </c>
      <c r="B31" s="32"/>
      <c r="C31" s="66" t="s">
        <v>37</v>
      </c>
      <c r="D31" s="56"/>
      <c r="E31" s="56" t="s">
        <v>101</v>
      </c>
      <c r="F31" s="56"/>
      <c r="G31" s="56" t="s">
        <v>111</v>
      </c>
      <c r="H31" s="19" t="s">
        <v>112</v>
      </c>
      <c r="I31" s="62"/>
      <c r="J31" s="63"/>
      <c r="K31" s="63"/>
      <c r="L31" s="15"/>
      <c r="M31" s="15"/>
      <c r="N31" s="15"/>
      <c r="O31" s="15"/>
      <c r="P31" s="15"/>
      <c r="Q31" s="15"/>
      <c r="R31" s="15"/>
      <c r="S31" s="15"/>
      <c r="T31" s="15"/>
      <c r="U31" s="15"/>
      <c r="V31" s="15"/>
      <c r="W31" s="15"/>
      <c r="X31" s="15"/>
      <c r="Y31" s="15"/>
      <c r="Z31" s="15"/>
    </row>
    <row r="32" ht="17.25" customHeight="1">
      <c r="A32" s="37" t="str">
        <f t="shared" si="1"/>
        <v/>
      </c>
      <c r="B32" s="48" t="s">
        <v>113</v>
      </c>
      <c r="C32" s="49"/>
      <c r="D32" s="49"/>
      <c r="E32" s="49"/>
      <c r="F32" s="49"/>
      <c r="G32" s="50"/>
      <c r="H32" s="50"/>
      <c r="I32" s="50"/>
      <c r="J32" s="50"/>
      <c r="K32" s="52"/>
      <c r="L32" s="15"/>
      <c r="M32" s="15"/>
      <c r="N32" s="15"/>
      <c r="O32" s="15"/>
      <c r="P32" s="15"/>
      <c r="Q32" s="15"/>
      <c r="R32" s="15"/>
      <c r="S32" s="15"/>
      <c r="T32" s="15"/>
      <c r="U32" s="15"/>
      <c r="V32" s="15"/>
      <c r="W32" s="15"/>
      <c r="X32" s="15"/>
      <c r="Y32" s="15"/>
      <c r="Z32" s="15"/>
    </row>
    <row r="33" ht="45.75" customHeight="1">
      <c r="A33" s="37" t="str">
        <f t="shared" si="1"/>
        <v>ST_19</v>
      </c>
      <c r="B33" s="54" t="s">
        <v>35</v>
      </c>
      <c r="C33" s="58" t="s">
        <v>37</v>
      </c>
      <c r="D33" s="58" t="s">
        <v>114</v>
      </c>
      <c r="E33" s="58" t="s">
        <v>101</v>
      </c>
      <c r="F33" s="54" t="s">
        <v>115</v>
      </c>
      <c r="G33" s="56" t="s">
        <v>116</v>
      </c>
      <c r="H33" s="67" t="s">
        <v>117</v>
      </c>
      <c r="I33" s="62"/>
      <c r="J33" s="63"/>
      <c r="K33" s="63"/>
      <c r="L33" s="15"/>
      <c r="M33" s="15"/>
      <c r="N33" s="15"/>
      <c r="O33" s="15"/>
      <c r="P33" s="15"/>
      <c r="Q33" s="15"/>
      <c r="R33" s="15"/>
      <c r="S33" s="15"/>
      <c r="T33" s="15"/>
      <c r="U33" s="15"/>
      <c r="V33" s="15"/>
      <c r="W33" s="15"/>
      <c r="X33" s="15"/>
      <c r="Y33" s="15"/>
      <c r="Z33" s="15"/>
    </row>
    <row r="34" ht="12.75" customHeight="1">
      <c r="A34" s="37" t="str">
        <f t="shared" si="1"/>
        <v>ST_20</v>
      </c>
      <c r="B34" s="73"/>
      <c r="C34" s="73"/>
      <c r="D34" s="73"/>
      <c r="E34" s="73"/>
      <c r="F34" s="73"/>
      <c r="G34" s="56" t="s">
        <v>118</v>
      </c>
      <c r="H34" s="67" t="s">
        <v>119</v>
      </c>
      <c r="I34" s="62"/>
      <c r="J34" s="63"/>
      <c r="K34" s="63"/>
      <c r="L34" s="15"/>
      <c r="M34" s="15"/>
      <c r="N34" s="15"/>
      <c r="O34" s="15"/>
      <c r="P34" s="15"/>
      <c r="Q34" s="15"/>
      <c r="R34" s="15"/>
      <c r="S34" s="15"/>
      <c r="T34" s="15"/>
      <c r="U34" s="15"/>
      <c r="V34" s="15"/>
      <c r="W34" s="15"/>
      <c r="X34" s="15"/>
      <c r="Y34" s="15"/>
      <c r="Z34" s="15"/>
    </row>
    <row r="35" ht="12.75" customHeight="1">
      <c r="A35" s="37" t="str">
        <f t="shared" si="1"/>
        <v>ST_21</v>
      </c>
      <c r="B35" s="73"/>
      <c r="C35" s="73"/>
      <c r="D35" s="73"/>
      <c r="E35" s="73"/>
      <c r="F35" s="73"/>
      <c r="G35" s="56" t="s">
        <v>120</v>
      </c>
      <c r="H35" s="19" t="s">
        <v>121</v>
      </c>
      <c r="I35" s="62"/>
      <c r="J35" s="63"/>
      <c r="K35" s="63"/>
      <c r="L35" s="15"/>
      <c r="M35" s="15"/>
      <c r="N35" s="15"/>
      <c r="O35" s="15"/>
      <c r="P35" s="15"/>
      <c r="Q35" s="15"/>
      <c r="R35" s="15"/>
      <c r="S35" s="15"/>
      <c r="T35" s="15"/>
      <c r="U35" s="15"/>
      <c r="V35" s="15"/>
      <c r="W35" s="15"/>
      <c r="X35" s="15"/>
      <c r="Y35" s="15"/>
      <c r="Z35" s="15"/>
    </row>
    <row r="36" ht="12.75" customHeight="1">
      <c r="A36" s="37" t="str">
        <f t="shared" si="1"/>
        <v>ST_22</v>
      </c>
      <c r="B36" s="73"/>
      <c r="C36" s="73"/>
      <c r="D36" s="73"/>
      <c r="E36" s="73"/>
      <c r="F36" s="73"/>
      <c r="G36" s="56" t="s">
        <v>122</v>
      </c>
      <c r="H36" s="67" t="s">
        <v>123</v>
      </c>
      <c r="I36" s="62"/>
      <c r="J36" s="63"/>
      <c r="K36" s="63"/>
      <c r="L36" s="15"/>
      <c r="M36" s="15"/>
      <c r="N36" s="15"/>
      <c r="O36" s="15"/>
      <c r="P36" s="15"/>
      <c r="Q36" s="15"/>
      <c r="R36" s="15"/>
      <c r="S36" s="15"/>
      <c r="T36" s="15"/>
      <c r="U36" s="15"/>
      <c r="V36" s="15"/>
      <c r="W36" s="15"/>
      <c r="X36" s="15"/>
      <c r="Y36" s="15"/>
      <c r="Z36" s="15"/>
    </row>
    <row r="37" ht="12.75" customHeight="1">
      <c r="A37" s="37" t="str">
        <f t="shared" si="1"/>
        <v>ST_23</v>
      </c>
      <c r="B37" s="32"/>
      <c r="C37" s="32"/>
      <c r="D37" s="32"/>
      <c r="E37" s="32"/>
      <c r="F37" s="32"/>
      <c r="G37" s="56" t="s">
        <v>124</v>
      </c>
      <c r="H37" s="19" t="s">
        <v>125</v>
      </c>
      <c r="I37" s="62"/>
      <c r="J37" s="63"/>
      <c r="K37" s="63"/>
      <c r="L37" s="15"/>
      <c r="M37" s="15"/>
      <c r="N37" s="15"/>
      <c r="O37" s="15"/>
      <c r="P37" s="15"/>
      <c r="Q37" s="15"/>
      <c r="R37" s="15"/>
      <c r="S37" s="15"/>
      <c r="T37" s="15"/>
      <c r="U37" s="15"/>
      <c r="V37" s="15"/>
      <c r="W37" s="15"/>
      <c r="X37" s="15"/>
      <c r="Y37" s="15"/>
      <c r="Z37" s="15"/>
    </row>
    <row r="38" ht="12.75" customHeight="1">
      <c r="A38" s="37" t="str">
        <f t="shared" si="1"/>
        <v>ST_24</v>
      </c>
      <c r="B38" s="74" t="s">
        <v>35</v>
      </c>
      <c r="C38" s="68" t="s">
        <v>37</v>
      </c>
      <c r="D38" s="74" t="s">
        <v>126</v>
      </c>
      <c r="E38" s="56" t="s">
        <v>101</v>
      </c>
      <c r="F38" s="56" t="s">
        <v>127</v>
      </c>
      <c r="G38" s="56" t="s">
        <v>116</v>
      </c>
      <c r="H38" s="19" t="s">
        <v>128</v>
      </c>
      <c r="I38" s="62"/>
      <c r="J38" s="63"/>
      <c r="K38" s="63"/>
      <c r="L38" s="15"/>
      <c r="M38" s="15"/>
      <c r="N38" s="15"/>
      <c r="O38" s="15"/>
      <c r="P38" s="15"/>
      <c r="Q38" s="15"/>
      <c r="R38" s="15"/>
      <c r="S38" s="15"/>
      <c r="T38" s="15"/>
      <c r="U38" s="15"/>
      <c r="V38" s="15"/>
      <c r="W38" s="15"/>
      <c r="X38" s="15"/>
      <c r="Y38" s="15"/>
      <c r="Z38" s="15"/>
    </row>
    <row r="39" ht="12.75" customHeight="1">
      <c r="A39" s="37" t="str">
        <f t="shared" si="1"/>
        <v>ST_25</v>
      </c>
      <c r="B39" s="66" t="s">
        <v>35</v>
      </c>
      <c r="C39" s="56" t="s">
        <v>37</v>
      </c>
      <c r="D39" s="66" t="s">
        <v>129</v>
      </c>
      <c r="E39" s="56" t="s">
        <v>101</v>
      </c>
      <c r="F39" s="66" t="s">
        <v>130</v>
      </c>
      <c r="G39" s="66" t="s">
        <v>131</v>
      </c>
      <c r="H39" s="67" t="s">
        <v>64</v>
      </c>
      <c r="I39" s="62"/>
      <c r="J39" s="63"/>
      <c r="K39" s="63"/>
      <c r="L39" s="15"/>
      <c r="M39" s="15"/>
      <c r="N39" s="15"/>
      <c r="O39" s="15"/>
      <c r="P39" s="15"/>
      <c r="Q39" s="15"/>
      <c r="R39" s="15"/>
      <c r="S39" s="15"/>
      <c r="T39" s="15"/>
      <c r="U39" s="15"/>
      <c r="V39" s="15"/>
      <c r="W39" s="15"/>
      <c r="X39" s="15"/>
      <c r="Y39" s="15"/>
      <c r="Z39" s="15"/>
    </row>
    <row r="40" ht="233.25" customHeight="1">
      <c r="A40" s="37" t="str">
        <f t="shared" si="1"/>
        <v>ST_26</v>
      </c>
      <c r="B40" s="54" t="s">
        <v>35</v>
      </c>
      <c r="C40" s="58" t="s">
        <v>37</v>
      </c>
      <c r="D40" s="58" t="s">
        <v>132</v>
      </c>
      <c r="E40" s="58" t="s">
        <v>133</v>
      </c>
      <c r="F40" s="58" t="s">
        <v>134</v>
      </c>
      <c r="G40" s="56" t="s">
        <v>135</v>
      </c>
      <c r="H40" s="67" t="s">
        <v>136</v>
      </c>
      <c r="I40" s="62"/>
      <c r="J40" s="63"/>
      <c r="K40" s="63"/>
      <c r="L40" s="15"/>
      <c r="M40" s="15"/>
      <c r="N40" s="15"/>
      <c r="O40" s="15"/>
      <c r="P40" s="15"/>
      <c r="Q40" s="15"/>
      <c r="R40" s="15"/>
      <c r="S40" s="15"/>
      <c r="T40" s="15"/>
      <c r="U40" s="15"/>
      <c r="V40" s="15"/>
      <c r="W40" s="15"/>
      <c r="X40" s="15"/>
      <c r="Y40" s="15"/>
      <c r="Z40" s="15"/>
    </row>
    <row r="41" ht="12.75" customHeight="1">
      <c r="A41" s="37" t="str">
        <f t="shared" si="1"/>
        <v>ST_27</v>
      </c>
      <c r="B41" s="32"/>
      <c r="C41" s="32"/>
      <c r="D41" s="32"/>
      <c r="E41" s="32"/>
      <c r="F41" s="32"/>
      <c r="G41" s="56" t="s">
        <v>137</v>
      </c>
      <c r="H41" s="67" t="s">
        <v>138</v>
      </c>
      <c r="I41" s="62"/>
      <c r="J41" s="63"/>
      <c r="K41" s="63"/>
      <c r="L41" s="15"/>
      <c r="M41" s="15"/>
      <c r="N41" s="15"/>
      <c r="O41" s="15"/>
      <c r="P41" s="15"/>
      <c r="Q41" s="15"/>
      <c r="R41" s="15"/>
      <c r="S41" s="15"/>
      <c r="T41" s="15"/>
      <c r="U41" s="15"/>
      <c r="V41" s="15"/>
      <c r="W41" s="15"/>
      <c r="X41" s="15"/>
      <c r="Y41" s="15"/>
      <c r="Z41" s="15"/>
    </row>
    <row r="42" ht="57.75" customHeight="1">
      <c r="A42" s="37" t="str">
        <f t="shared" si="1"/>
        <v>ST_28</v>
      </c>
      <c r="B42" s="54" t="s">
        <v>35</v>
      </c>
      <c r="C42" s="58" t="s">
        <v>37</v>
      </c>
      <c r="D42" s="58" t="s">
        <v>139</v>
      </c>
      <c r="E42" s="71" t="s">
        <v>39</v>
      </c>
      <c r="F42" s="58" t="s">
        <v>140</v>
      </c>
      <c r="G42" s="56" t="s">
        <v>141</v>
      </c>
      <c r="H42" s="67" t="s">
        <v>142</v>
      </c>
      <c r="I42" s="62"/>
      <c r="J42" s="63"/>
      <c r="K42" s="63"/>
      <c r="L42" s="15"/>
      <c r="M42" s="15"/>
      <c r="N42" s="15"/>
      <c r="O42" s="15"/>
      <c r="P42" s="15"/>
      <c r="Q42" s="15"/>
      <c r="R42" s="15"/>
      <c r="S42" s="15"/>
      <c r="T42" s="15"/>
      <c r="U42" s="15"/>
      <c r="V42" s="15"/>
      <c r="W42" s="15"/>
      <c r="X42" s="15"/>
      <c r="Y42" s="15"/>
      <c r="Z42" s="15"/>
    </row>
    <row r="43" ht="12.75" customHeight="1">
      <c r="A43" s="37" t="str">
        <f t="shared" si="1"/>
        <v>ST_29</v>
      </c>
      <c r="B43" s="32"/>
      <c r="C43" s="32"/>
      <c r="D43" s="32"/>
      <c r="E43" s="32"/>
      <c r="F43" s="32"/>
      <c r="G43" s="56" t="s">
        <v>143</v>
      </c>
      <c r="H43" s="67" t="s">
        <v>144</v>
      </c>
      <c r="I43" s="62"/>
      <c r="J43" s="63"/>
      <c r="K43" s="63"/>
      <c r="L43" s="15"/>
      <c r="M43" s="15"/>
      <c r="N43" s="15"/>
      <c r="O43" s="15"/>
      <c r="P43" s="15"/>
      <c r="Q43" s="15"/>
      <c r="R43" s="15"/>
      <c r="S43" s="15"/>
      <c r="T43" s="15"/>
      <c r="U43" s="15"/>
      <c r="V43" s="15"/>
      <c r="W43" s="15"/>
      <c r="X43" s="15"/>
      <c r="Y43" s="15"/>
      <c r="Z43" s="15"/>
    </row>
    <row r="44" ht="12.75" customHeight="1">
      <c r="A44" s="37" t="str">
        <f t="shared" si="1"/>
        <v>ST_30</v>
      </c>
      <c r="B44" s="74" t="s">
        <v>35</v>
      </c>
      <c r="C44" s="68" t="s">
        <v>37</v>
      </c>
      <c r="D44" s="68" t="s">
        <v>126</v>
      </c>
      <c r="E44" s="71" t="s">
        <v>39</v>
      </c>
      <c r="F44" s="68" t="s">
        <v>127</v>
      </c>
      <c r="G44" s="56" t="s">
        <v>145</v>
      </c>
      <c r="H44" s="67" t="s">
        <v>146</v>
      </c>
      <c r="I44" s="62"/>
      <c r="J44" s="63"/>
      <c r="K44" s="63"/>
      <c r="L44" s="15"/>
      <c r="M44" s="15"/>
      <c r="N44" s="15"/>
      <c r="O44" s="15"/>
      <c r="P44" s="15"/>
      <c r="Q44" s="15"/>
      <c r="R44" s="15"/>
      <c r="S44" s="15"/>
      <c r="T44" s="15"/>
      <c r="U44" s="15"/>
      <c r="V44" s="15"/>
      <c r="W44" s="15"/>
      <c r="X44" s="15"/>
      <c r="Y44" s="15"/>
      <c r="Z44" s="15"/>
    </row>
    <row r="45" ht="17.25" customHeight="1">
      <c r="A45" s="37"/>
      <c r="B45" s="32"/>
      <c r="C45" s="32"/>
      <c r="D45" s="32"/>
      <c r="E45" s="32"/>
      <c r="F45" s="32"/>
      <c r="G45" s="75" t="s">
        <v>147</v>
      </c>
      <c r="H45" s="75" t="s">
        <v>148</v>
      </c>
      <c r="I45" s="62"/>
      <c r="J45" s="76"/>
      <c r="K45" s="76"/>
      <c r="L45" s="77"/>
      <c r="M45" s="15"/>
      <c r="N45" s="15"/>
      <c r="O45" s="15"/>
      <c r="P45" s="15"/>
      <c r="Q45" s="15"/>
      <c r="R45" s="15"/>
      <c r="S45" s="15"/>
      <c r="T45" s="15"/>
      <c r="U45" s="15"/>
      <c r="V45" s="15"/>
      <c r="W45" s="15"/>
      <c r="X45" s="15"/>
      <c r="Y45" s="15"/>
      <c r="Z45" s="15"/>
    </row>
    <row r="46" ht="17.25" customHeight="1">
      <c r="A46" s="37" t="str">
        <f t="shared" ref="A46:A520" si="2">IF(AND(H46="",H46=""),"",$H$3&amp;"_"&amp;ROW()-11-COUNTBLANK($H$12:H46))</f>
        <v/>
      </c>
      <c r="B46" s="48" t="s">
        <v>149</v>
      </c>
      <c r="C46" s="49"/>
      <c r="D46" s="49"/>
      <c r="E46" s="49"/>
      <c r="F46" s="49"/>
      <c r="G46" s="50"/>
      <c r="H46" s="50"/>
      <c r="I46" s="50"/>
      <c r="J46" s="50"/>
      <c r="K46" s="52"/>
      <c r="L46" s="15"/>
      <c r="M46" s="15"/>
      <c r="N46" s="15"/>
      <c r="O46" s="15"/>
      <c r="P46" s="15"/>
      <c r="Q46" s="15"/>
      <c r="R46" s="15"/>
      <c r="S46" s="15"/>
      <c r="T46" s="15"/>
      <c r="U46" s="15"/>
      <c r="V46" s="15"/>
      <c r="W46" s="15"/>
      <c r="X46" s="15"/>
      <c r="Y46" s="15"/>
      <c r="Z46" s="15"/>
    </row>
    <row r="47" ht="12.75" customHeight="1">
      <c r="A47" s="37" t="str">
        <f t="shared" si="2"/>
        <v>ST_32</v>
      </c>
      <c r="B47" s="78" t="s">
        <v>35</v>
      </c>
      <c r="C47" s="79" t="s">
        <v>37</v>
      </c>
      <c r="D47" s="78" t="s">
        <v>150</v>
      </c>
      <c r="E47" s="79" t="s">
        <v>39</v>
      </c>
      <c r="F47" s="79" t="s">
        <v>151</v>
      </c>
      <c r="G47" s="56" t="s">
        <v>152</v>
      </c>
      <c r="H47" s="67" t="s">
        <v>153</v>
      </c>
      <c r="I47" s="62"/>
      <c r="J47" s="63"/>
      <c r="K47" s="63"/>
      <c r="L47" s="15"/>
      <c r="M47" s="15"/>
      <c r="N47" s="15"/>
      <c r="O47" s="15"/>
      <c r="P47" s="15"/>
      <c r="Q47" s="15"/>
      <c r="R47" s="15"/>
      <c r="S47" s="15"/>
      <c r="T47" s="15"/>
      <c r="U47" s="15"/>
      <c r="V47" s="15"/>
      <c r="W47" s="15"/>
      <c r="X47" s="15"/>
      <c r="Y47" s="15"/>
      <c r="Z47" s="15"/>
    </row>
    <row r="48" ht="12.75" customHeight="1">
      <c r="A48" s="37" t="str">
        <f t="shared" si="2"/>
        <v>ST_33</v>
      </c>
      <c r="B48" s="78" t="s">
        <v>35</v>
      </c>
      <c r="C48" s="79" t="s">
        <v>37</v>
      </c>
      <c r="D48" s="78" t="s">
        <v>154</v>
      </c>
      <c r="E48" s="79" t="s">
        <v>39</v>
      </c>
      <c r="F48" s="79" t="s">
        <v>155</v>
      </c>
      <c r="G48" s="56" t="s">
        <v>156</v>
      </c>
      <c r="H48" s="19" t="s">
        <v>157</v>
      </c>
      <c r="I48" s="62"/>
      <c r="J48" s="63"/>
      <c r="K48" s="63"/>
      <c r="L48" s="15"/>
      <c r="M48" s="15"/>
      <c r="N48" s="15"/>
      <c r="O48" s="15"/>
      <c r="P48" s="15"/>
      <c r="Q48" s="15"/>
      <c r="R48" s="15"/>
      <c r="S48" s="15"/>
      <c r="T48" s="15"/>
      <c r="U48" s="15"/>
      <c r="V48" s="15"/>
      <c r="W48" s="15"/>
      <c r="X48" s="15"/>
      <c r="Y48" s="15"/>
      <c r="Z48" s="15"/>
    </row>
    <row r="49" ht="12.75" customHeight="1">
      <c r="A49" s="37" t="str">
        <f t="shared" si="2"/>
        <v>ST_34</v>
      </c>
      <c r="B49" s="54" t="s">
        <v>35</v>
      </c>
      <c r="C49" s="58" t="s">
        <v>37</v>
      </c>
      <c r="D49" s="54" t="s">
        <v>158</v>
      </c>
      <c r="E49" s="58" t="s">
        <v>39</v>
      </c>
      <c r="F49" s="58" t="s">
        <v>159</v>
      </c>
      <c r="G49" s="56" t="s">
        <v>160</v>
      </c>
      <c r="H49" s="19" t="s">
        <v>161</v>
      </c>
      <c r="I49" s="62"/>
      <c r="J49" s="63"/>
      <c r="K49" s="63"/>
      <c r="L49" s="15"/>
      <c r="M49" s="15"/>
      <c r="N49" s="15"/>
      <c r="O49" s="15"/>
      <c r="P49" s="15"/>
      <c r="Q49" s="15"/>
      <c r="R49" s="15"/>
      <c r="S49" s="15"/>
      <c r="T49" s="15"/>
      <c r="U49" s="15"/>
      <c r="V49" s="15"/>
      <c r="W49" s="15"/>
      <c r="X49" s="15"/>
      <c r="Y49" s="15"/>
      <c r="Z49" s="15"/>
    </row>
    <row r="50" ht="12.75" customHeight="1">
      <c r="A50" s="37" t="str">
        <f t="shared" si="2"/>
        <v>ST_35</v>
      </c>
      <c r="B50" s="32"/>
      <c r="C50" s="32"/>
      <c r="D50" s="32"/>
      <c r="E50" s="32"/>
      <c r="F50" s="32"/>
      <c r="G50" s="56" t="s">
        <v>162</v>
      </c>
      <c r="H50" s="19" t="s">
        <v>163</v>
      </c>
      <c r="I50" s="62"/>
      <c r="J50" s="63"/>
      <c r="K50" s="63"/>
      <c r="L50" s="15"/>
      <c r="M50" s="15"/>
      <c r="N50" s="15"/>
      <c r="O50" s="15"/>
      <c r="P50" s="15"/>
      <c r="Q50" s="15"/>
      <c r="R50" s="15"/>
      <c r="S50" s="15"/>
      <c r="T50" s="15"/>
      <c r="U50" s="15"/>
      <c r="V50" s="15"/>
      <c r="W50" s="15"/>
      <c r="X50" s="15"/>
      <c r="Y50" s="15"/>
      <c r="Z50" s="15"/>
    </row>
    <row r="51" ht="12.75" customHeight="1">
      <c r="A51" s="37" t="str">
        <f t="shared" si="2"/>
        <v>ST_36</v>
      </c>
      <c r="B51" s="78" t="s">
        <v>35</v>
      </c>
      <c r="C51" s="79" t="s">
        <v>37</v>
      </c>
      <c r="D51" s="78" t="s">
        <v>164</v>
      </c>
      <c r="E51" s="79" t="s">
        <v>39</v>
      </c>
      <c r="F51" s="79" t="s">
        <v>165</v>
      </c>
      <c r="G51" s="66" t="s">
        <v>166</v>
      </c>
      <c r="H51" s="19" t="s">
        <v>167</v>
      </c>
      <c r="I51" s="62"/>
      <c r="J51" s="63"/>
      <c r="K51" s="63"/>
      <c r="L51" s="15"/>
      <c r="M51" s="15"/>
      <c r="N51" s="15"/>
      <c r="O51" s="15"/>
      <c r="P51" s="15"/>
      <c r="Q51" s="15"/>
      <c r="R51" s="15"/>
      <c r="S51" s="15"/>
      <c r="T51" s="15"/>
      <c r="U51" s="15"/>
      <c r="V51" s="15"/>
      <c r="W51" s="15"/>
      <c r="X51" s="15"/>
      <c r="Y51" s="15"/>
      <c r="Z51" s="15"/>
    </row>
    <row r="52" ht="12.75" customHeight="1">
      <c r="A52" s="37" t="str">
        <f t="shared" si="2"/>
        <v>ST_37</v>
      </c>
      <c r="B52" s="78" t="s">
        <v>35</v>
      </c>
      <c r="C52" s="79" t="s">
        <v>37</v>
      </c>
      <c r="D52" s="74" t="s">
        <v>168</v>
      </c>
      <c r="E52" s="78" t="s">
        <v>39</v>
      </c>
      <c r="F52" s="68" t="s">
        <v>169</v>
      </c>
      <c r="G52" s="56" t="s">
        <v>170</v>
      </c>
      <c r="H52" s="19" t="s">
        <v>171</v>
      </c>
      <c r="I52" s="62"/>
      <c r="J52" s="63"/>
      <c r="K52" s="63"/>
      <c r="L52" s="15"/>
      <c r="M52" s="15"/>
      <c r="N52" s="15"/>
      <c r="O52" s="15"/>
      <c r="P52" s="15"/>
      <c r="Q52" s="15"/>
      <c r="R52" s="15"/>
      <c r="S52" s="15"/>
      <c r="T52" s="15"/>
      <c r="U52" s="15"/>
      <c r="V52" s="15"/>
      <c r="W52" s="15"/>
      <c r="X52" s="15"/>
      <c r="Y52" s="15"/>
      <c r="Z52" s="15"/>
    </row>
    <row r="53" ht="12.75" customHeight="1">
      <c r="A53" s="37" t="str">
        <f t="shared" si="2"/>
        <v>ST_38</v>
      </c>
      <c r="B53" s="66" t="s">
        <v>35</v>
      </c>
      <c r="C53" s="56" t="s">
        <v>172</v>
      </c>
      <c r="D53" s="32"/>
      <c r="E53" s="66" t="s">
        <v>173</v>
      </c>
      <c r="F53" s="32"/>
      <c r="G53" s="56" t="s">
        <v>174</v>
      </c>
      <c r="H53" s="19" t="s">
        <v>175</v>
      </c>
      <c r="I53" s="62"/>
      <c r="J53" s="63"/>
      <c r="K53" s="63"/>
      <c r="L53" s="15"/>
      <c r="M53" s="15"/>
      <c r="N53" s="15"/>
      <c r="O53" s="15"/>
      <c r="P53" s="15"/>
      <c r="Q53" s="15"/>
      <c r="R53" s="15"/>
      <c r="S53" s="15"/>
      <c r="T53" s="15"/>
      <c r="U53" s="15"/>
      <c r="V53" s="15"/>
      <c r="W53" s="15"/>
      <c r="X53" s="15"/>
      <c r="Y53" s="15"/>
      <c r="Z53" s="15"/>
    </row>
    <row r="54" ht="12.75" customHeight="1">
      <c r="A54" s="37" t="str">
        <f t="shared" si="2"/>
        <v>ST_39</v>
      </c>
      <c r="B54" s="78" t="s">
        <v>35</v>
      </c>
      <c r="C54" s="79" t="s">
        <v>37</v>
      </c>
      <c r="D54" s="79"/>
      <c r="E54" s="78" t="s">
        <v>39</v>
      </c>
      <c r="F54" s="79" t="s">
        <v>176</v>
      </c>
      <c r="G54" s="56" t="s">
        <v>177</v>
      </c>
      <c r="H54" s="80" t="s">
        <v>178</v>
      </c>
      <c r="I54" s="62"/>
      <c r="J54" s="63"/>
      <c r="K54" s="63"/>
      <c r="L54" s="15"/>
      <c r="M54" s="15"/>
      <c r="N54" s="15"/>
      <c r="O54" s="15"/>
      <c r="P54" s="15"/>
      <c r="Q54" s="15"/>
      <c r="R54" s="15"/>
      <c r="S54" s="15"/>
      <c r="T54" s="15"/>
      <c r="U54" s="15"/>
      <c r="V54" s="15"/>
      <c r="W54" s="15"/>
      <c r="X54" s="15"/>
      <c r="Y54" s="15"/>
      <c r="Z54" s="15"/>
    </row>
    <row r="55" ht="19.5" customHeight="1">
      <c r="A55" s="37" t="str">
        <f t="shared" si="2"/>
        <v/>
      </c>
      <c r="B55" s="39" t="s">
        <v>179</v>
      </c>
      <c r="C55" s="41"/>
      <c r="D55" s="41"/>
      <c r="E55" s="41"/>
      <c r="F55" s="41"/>
      <c r="G55" s="41"/>
      <c r="H55" s="43"/>
      <c r="I55" s="45"/>
      <c r="J55" s="45"/>
      <c r="K55" s="46"/>
      <c r="L55" s="15"/>
      <c r="M55" s="15"/>
      <c r="N55" s="15"/>
      <c r="O55" s="15"/>
      <c r="P55" s="15"/>
      <c r="Q55" s="15"/>
      <c r="R55" s="15"/>
      <c r="S55" s="15"/>
      <c r="T55" s="15"/>
      <c r="U55" s="15"/>
      <c r="V55" s="15"/>
      <c r="W55" s="15"/>
      <c r="X55" s="15"/>
      <c r="Y55" s="15"/>
      <c r="Z55" s="15"/>
    </row>
    <row r="56" ht="12.75" customHeight="1">
      <c r="A56" s="37" t="str">
        <f t="shared" si="2"/>
        <v>ST_40</v>
      </c>
      <c r="B56" s="54" t="s">
        <v>35</v>
      </c>
      <c r="C56" s="56" t="s">
        <v>172</v>
      </c>
      <c r="D56" s="56" t="s">
        <v>180</v>
      </c>
      <c r="E56" s="56" t="s">
        <v>181</v>
      </c>
      <c r="F56" s="56" t="s">
        <v>182</v>
      </c>
      <c r="G56" s="56" t="s">
        <v>183</v>
      </c>
      <c r="H56" s="67" t="s">
        <v>184</v>
      </c>
      <c r="I56" s="62"/>
      <c r="J56" s="63"/>
      <c r="K56" s="63"/>
      <c r="L56" s="15"/>
      <c r="M56" s="15"/>
      <c r="N56" s="15"/>
      <c r="O56" s="15"/>
      <c r="P56" s="15"/>
      <c r="Q56" s="15"/>
      <c r="R56" s="15"/>
      <c r="S56" s="15"/>
      <c r="T56" s="15"/>
      <c r="U56" s="15"/>
      <c r="V56" s="15"/>
      <c r="W56" s="15"/>
      <c r="X56" s="15"/>
      <c r="Y56" s="15"/>
      <c r="Z56" s="15"/>
    </row>
    <row r="57" ht="12.75" customHeight="1">
      <c r="A57" s="37" t="str">
        <f t="shared" si="2"/>
        <v>ST_41</v>
      </c>
      <c r="B57" s="54" t="s">
        <v>35</v>
      </c>
      <c r="C57" s="56" t="s">
        <v>172</v>
      </c>
      <c r="D57" s="56" t="s">
        <v>185</v>
      </c>
      <c r="E57" s="56" t="s">
        <v>181</v>
      </c>
      <c r="F57" s="56" t="s">
        <v>186</v>
      </c>
      <c r="G57" s="56" t="s">
        <v>187</v>
      </c>
      <c r="H57" s="19" t="s">
        <v>188</v>
      </c>
      <c r="I57" s="62"/>
      <c r="J57" s="63"/>
      <c r="K57" s="63"/>
      <c r="L57" s="15"/>
      <c r="M57" s="15"/>
      <c r="N57" s="15"/>
      <c r="O57" s="15"/>
      <c r="P57" s="15"/>
      <c r="Q57" s="15"/>
      <c r="R57" s="15"/>
      <c r="S57" s="15"/>
      <c r="T57" s="15"/>
      <c r="U57" s="15"/>
      <c r="V57" s="15"/>
      <c r="W57" s="15"/>
      <c r="X57" s="15"/>
      <c r="Y57" s="15"/>
      <c r="Z57" s="15"/>
    </row>
    <row r="58" ht="12.75" customHeight="1">
      <c r="A58" s="37" t="str">
        <f t="shared" si="2"/>
        <v>ST_42</v>
      </c>
      <c r="B58" s="58" t="s">
        <v>35</v>
      </c>
      <c r="C58" s="58" t="s">
        <v>189</v>
      </c>
      <c r="D58" s="58" t="s">
        <v>190</v>
      </c>
      <c r="E58" s="54" t="s">
        <v>191</v>
      </c>
      <c r="F58" s="58" t="s">
        <v>192</v>
      </c>
      <c r="G58" s="56" t="s">
        <v>193</v>
      </c>
      <c r="H58" s="19" t="s">
        <v>194</v>
      </c>
      <c r="I58" s="62"/>
      <c r="J58" s="63"/>
      <c r="K58" s="63"/>
      <c r="L58" s="15"/>
      <c r="M58" s="15"/>
      <c r="N58" s="15"/>
      <c r="O58" s="15"/>
      <c r="P58" s="15"/>
      <c r="Q58" s="15"/>
      <c r="R58" s="15"/>
      <c r="S58" s="15"/>
      <c r="T58" s="15"/>
      <c r="U58" s="15"/>
      <c r="V58" s="15"/>
      <c r="W58" s="15"/>
      <c r="X58" s="15"/>
      <c r="Y58" s="15"/>
      <c r="Z58" s="15"/>
    </row>
    <row r="59" ht="12.75" customHeight="1">
      <c r="A59" s="37" t="str">
        <f t="shared" si="2"/>
        <v>ST_43</v>
      </c>
      <c r="B59" s="32"/>
      <c r="C59" s="32"/>
      <c r="D59" s="32"/>
      <c r="E59" s="32"/>
      <c r="F59" s="32"/>
      <c r="G59" s="56" t="s">
        <v>195</v>
      </c>
      <c r="H59" s="19" t="s">
        <v>196</v>
      </c>
      <c r="I59" s="62"/>
      <c r="J59" s="63"/>
      <c r="K59" s="63"/>
      <c r="L59" s="15"/>
      <c r="M59" s="15"/>
      <c r="N59" s="15"/>
      <c r="O59" s="15"/>
      <c r="P59" s="15"/>
      <c r="Q59" s="15"/>
      <c r="R59" s="15"/>
      <c r="S59" s="15"/>
      <c r="T59" s="15"/>
      <c r="U59" s="15"/>
      <c r="V59" s="15"/>
      <c r="W59" s="15"/>
      <c r="X59" s="15"/>
      <c r="Y59" s="15"/>
      <c r="Z59" s="15"/>
    </row>
    <row r="60" ht="12.75" customHeight="1">
      <c r="A60" s="37" t="str">
        <f t="shared" si="2"/>
        <v>ST_44</v>
      </c>
      <c r="B60" s="58"/>
      <c r="C60" s="56" t="s">
        <v>172</v>
      </c>
      <c r="D60" s="56" t="s">
        <v>197</v>
      </c>
      <c r="E60" s="56" t="s">
        <v>181</v>
      </c>
      <c r="F60" s="56" t="s">
        <v>198</v>
      </c>
      <c r="G60" s="56" t="s">
        <v>199</v>
      </c>
      <c r="H60" s="19" t="s">
        <v>200</v>
      </c>
      <c r="I60" s="62"/>
      <c r="J60" s="63"/>
      <c r="K60" s="63"/>
      <c r="L60" s="15"/>
      <c r="M60" s="15"/>
      <c r="N60" s="15"/>
      <c r="O60" s="15"/>
      <c r="P60" s="15"/>
      <c r="Q60" s="15"/>
      <c r="R60" s="15"/>
      <c r="S60" s="15"/>
      <c r="T60" s="15"/>
      <c r="U60" s="15"/>
      <c r="V60" s="15"/>
      <c r="W60" s="15"/>
      <c r="X60" s="15"/>
      <c r="Y60" s="15"/>
      <c r="Z60" s="15"/>
    </row>
    <row r="61" ht="12.75" customHeight="1">
      <c r="A61" s="37" t="str">
        <f t="shared" si="2"/>
        <v>ST_45</v>
      </c>
      <c r="B61" s="58"/>
      <c r="C61" s="58" t="s">
        <v>189</v>
      </c>
      <c r="D61" s="58" t="s">
        <v>190</v>
      </c>
      <c r="E61" s="58"/>
      <c r="F61" s="56"/>
      <c r="G61" s="56" t="s">
        <v>201</v>
      </c>
      <c r="H61" s="19" t="s">
        <v>202</v>
      </c>
      <c r="I61" s="62"/>
      <c r="J61" s="63"/>
      <c r="K61" s="63"/>
      <c r="L61" s="15"/>
      <c r="M61" s="15"/>
      <c r="N61" s="15"/>
      <c r="O61" s="15"/>
      <c r="P61" s="15"/>
      <c r="Q61" s="15"/>
      <c r="R61" s="15"/>
      <c r="S61" s="15"/>
      <c r="T61" s="15"/>
      <c r="U61" s="15"/>
      <c r="V61" s="15"/>
      <c r="W61" s="15"/>
      <c r="X61" s="15"/>
      <c r="Y61" s="15"/>
      <c r="Z61" s="15"/>
    </row>
    <row r="62" ht="12.75" customHeight="1">
      <c r="A62" s="37" t="str">
        <f t="shared" si="2"/>
        <v>ST_46</v>
      </c>
      <c r="B62" s="58"/>
      <c r="C62" s="56" t="s">
        <v>172</v>
      </c>
      <c r="D62" s="56" t="s">
        <v>180</v>
      </c>
      <c r="E62" s="56"/>
      <c r="F62" s="56" t="s">
        <v>203</v>
      </c>
      <c r="G62" s="56" t="s">
        <v>204</v>
      </c>
      <c r="H62" s="19" t="s">
        <v>205</v>
      </c>
      <c r="I62" s="62"/>
      <c r="J62" s="63"/>
      <c r="K62" s="63"/>
      <c r="L62" s="15"/>
      <c r="M62" s="15"/>
      <c r="N62" s="15"/>
      <c r="O62" s="15"/>
      <c r="P62" s="15"/>
      <c r="Q62" s="15"/>
      <c r="R62" s="15"/>
      <c r="S62" s="15"/>
      <c r="T62" s="15"/>
      <c r="U62" s="15"/>
      <c r="V62" s="15"/>
      <c r="W62" s="15"/>
      <c r="X62" s="15"/>
      <c r="Y62" s="15"/>
      <c r="Z62" s="15"/>
    </row>
    <row r="63" ht="12.75" customHeight="1">
      <c r="A63" s="37" t="str">
        <f t="shared" si="2"/>
        <v>ST_47</v>
      </c>
      <c r="B63" s="58"/>
      <c r="C63" s="58" t="s">
        <v>189</v>
      </c>
      <c r="D63" s="58" t="s">
        <v>190</v>
      </c>
      <c r="E63" s="58"/>
      <c r="F63" s="58" t="s">
        <v>192</v>
      </c>
      <c r="G63" s="56" t="s">
        <v>206</v>
      </c>
      <c r="H63" s="19" t="s">
        <v>207</v>
      </c>
      <c r="I63" s="62"/>
      <c r="J63" s="63"/>
      <c r="K63" s="63"/>
      <c r="L63" s="15"/>
      <c r="M63" s="15"/>
      <c r="N63" s="15"/>
      <c r="O63" s="15"/>
      <c r="P63" s="15"/>
      <c r="Q63" s="15"/>
      <c r="R63" s="15"/>
      <c r="S63" s="15"/>
      <c r="T63" s="15"/>
      <c r="U63" s="15"/>
      <c r="V63" s="15"/>
      <c r="W63" s="15"/>
      <c r="X63" s="15"/>
      <c r="Y63" s="15"/>
      <c r="Z63" s="15"/>
    </row>
    <row r="64" ht="12.75" customHeight="1">
      <c r="A64" s="37" t="str">
        <f t="shared" si="2"/>
        <v>ST_48</v>
      </c>
      <c r="B64" s="58"/>
      <c r="C64" s="32"/>
      <c r="D64" s="32"/>
      <c r="E64" s="32"/>
      <c r="F64" s="32"/>
      <c r="G64" s="56" t="s">
        <v>208</v>
      </c>
      <c r="H64" s="19" t="s">
        <v>209</v>
      </c>
      <c r="I64" s="62"/>
      <c r="J64" s="63"/>
      <c r="K64" s="63"/>
      <c r="L64" s="15"/>
      <c r="M64" s="15"/>
      <c r="N64" s="15"/>
      <c r="O64" s="15"/>
      <c r="P64" s="15"/>
      <c r="Q64" s="15"/>
      <c r="R64" s="15"/>
      <c r="S64" s="15"/>
      <c r="T64" s="15"/>
      <c r="U64" s="15"/>
      <c r="V64" s="15"/>
      <c r="W64" s="15"/>
      <c r="X64" s="15"/>
      <c r="Y64" s="15"/>
      <c r="Z64" s="15"/>
    </row>
    <row r="65" ht="12.75" customHeight="1">
      <c r="A65" s="37" t="str">
        <f t="shared" si="2"/>
        <v>ST_49</v>
      </c>
      <c r="B65" s="58"/>
      <c r="C65" s="56" t="s">
        <v>172</v>
      </c>
      <c r="D65" s="56" t="s">
        <v>180</v>
      </c>
      <c r="E65" s="79"/>
      <c r="F65" s="56" t="s">
        <v>210</v>
      </c>
      <c r="G65" s="56" t="s">
        <v>211</v>
      </c>
      <c r="H65" s="19" t="s">
        <v>212</v>
      </c>
      <c r="I65" s="62"/>
      <c r="J65" s="63"/>
      <c r="K65" s="63"/>
      <c r="L65" s="15"/>
      <c r="M65" s="15"/>
      <c r="N65" s="15"/>
      <c r="O65" s="15"/>
      <c r="P65" s="15"/>
      <c r="Q65" s="15"/>
      <c r="R65" s="15"/>
      <c r="S65" s="15"/>
      <c r="T65" s="15"/>
      <c r="U65" s="15"/>
      <c r="V65" s="15"/>
      <c r="W65" s="15"/>
      <c r="X65" s="15"/>
      <c r="Y65" s="15"/>
      <c r="Z65" s="15"/>
    </row>
    <row r="66" ht="12.75" customHeight="1">
      <c r="A66" s="37" t="str">
        <f t="shared" si="2"/>
        <v>ST_50</v>
      </c>
      <c r="B66" s="58"/>
      <c r="C66" s="58" t="s">
        <v>189</v>
      </c>
      <c r="D66" s="58" t="s">
        <v>190</v>
      </c>
      <c r="E66" s="58"/>
      <c r="F66" s="58" t="s">
        <v>192</v>
      </c>
      <c r="G66" s="56" t="s">
        <v>213</v>
      </c>
      <c r="H66" s="19" t="s">
        <v>214</v>
      </c>
      <c r="I66" s="62"/>
      <c r="J66" s="63"/>
      <c r="K66" s="63"/>
      <c r="L66" s="15"/>
      <c r="M66" s="15"/>
      <c r="N66" s="15"/>
      <c r="O66" s="15"/>
      <c r="P66" s="15"/>
      <c r="Q66" s="15"/>
      <c r="R66" s="15"/>
      <c r="S66" s="15"/>
      <c r="T66" s="15"/>
      <c r="U66" s="15"/>
      <c r="V66" s="15"/>
      <c r="W66" s="15"/>
      <c r="X66" s="15"/>
      <c r="Y66" s="15"/>
      <c r="Z66" s="15"/>
    </row>
    <row r="67" ht="12.75" customHeight="1">
      <c r="A67" s="37" t="str">
        <f t="shared" si="2"/>
        <v>ST_51</v>
      </c>
      <c r="B67" s="58"/>
      <c r="C67" s="32"/>
      <c r="D67" s="32"/>
      <c r="E67" s="32"/>
      <c r="F67" s="32"/>
      <c r="G67" s="56" t="s">
        <v>215</v>
      </c>
      <c r="H67" s="19" t="s">
        <v>216</v>
      </c>
      <c r="I67" s="62"/>
      <c r="J67" s="63"/>
      <c r="K67" s="63"/>
      <c r="L67" s="15"/>
      <c r="M67" s="15"/>
      <c r="N67" s="15"/>
      <c r="O67" s="15"/>
      <c r="P67" s="15"/>
      <c r="Q67" s="15"/>
      <c r="R67" s="15"/>
      <c r="S67" s="15"/>
      <c r="T67" s="15"/>
      <c r="U67" s="15"/>
      <c r="V67" s="15"/>
      <c r="W67" s="15"/>
      <c r="X67" s="15"/>
      <c r="Y67" s="15"/>
      <c r="Z67" s="15"/>
    </row>
    <row r="68" ht="12.75" customHeight="1">
      <c r="A68" s="37" t="str">
        <f t="shared" si="2"/>
        <v>ST_52</v>
      </c>
      <c r="B68" s="58"/>
      <c r="C68" s="56" t="s">
        <v>172</v>
      </c>
      <c r="D68" s="56" t="s">
        <v>180</v>
      </c>
      <c r="E68" s="79"/>
      <c r="F68" s="56" t="s">
        <v>217</v>
      </c>
      <c r="G68" s="56" t="s">
        <v>218</v>
      </c>
      <c r="H68" s="19" t="s">
        <v>219</v>
      </c>
      <c r="I68" s="62"/>
      <c r="J68" s="63"/>
      <c r="K68" s="63"/>
      <c r="L68" s="15"/>
      <c r="M68" s="15"/>
      <c r="N68" s="15"/>
      <c r="O68" s="15"/>
      <c r="P68" s="15"/>
      <c r="Q68" s="15"/>
      <c r="R68" s="15"/>
      <c r="S68" s="15"/>
      <c r="T68" s="15"/>
      <c r="U68" s="15"/>
      <c r="V68" s="15"/>
      <c r="W68" s="15"/>
      <c r="X68" s="15"/>
      <c r="Y68" s="15"/>
      <c r="Z68" s="15"/>
    </row>
    <row r="69" ht="12.75" customHeight="1">
      <c r="A69" s="37" t="str">
        <f t="shared" si="2"/>
        <v>ST_53</v>
      </c>
      <c r="B69" s="58"/>
      <c r="C69" s="58" t="s">
        <v>189</v>
      </c>
      <c r="D69" s="58" t="s">
        <v>190</v>
      </c>
      <c r="E69" s="58"/>
      <c r="F69" s="58" t="s">
        <v>192</v>
      </c>
      <c r="G69" s="56" t="s">
        <v>220</v>
      </c>
      <c r="H69" s="19" t="s">
        <v>221</v>
      </c>
      <c r="I69" s="62"/>
      <c r="J69" s="63"/>
      <c r="K69" s="63"/>
      <c r="L69" s="15"/>
      <c r="M69" s="15"/>
      <c r="N69" s="15"/>
      <c r="O69" s="15"/>
      <c r="P69" s="15"/>
      <c r="Q69" s="15"/>
      <c r="R69" s="15"/>
      <c r="S69" s="15"/>
      <c r="T69" s="15"/>
      <c r="U69" s="15"/>
      <c r="V69" s="15"/>
      <c r="W69" s="15"/>
      <c r="X69" s="15"/>
      <c r="Y69" s="15"/>
      <c r="Z69" s="15"/>
    </row>
    <row r="70" ht="12.75" customHeight="1">
      <c r="A70" s="37" t="str">
        <f t="shared" si="2"/>
        <v>ST_54</v>
      </c>
      <c r="B70" s="58"/>
      <c r="C70" s="32"/>
      <c r="D70" s="32"/>
      <c r="E70" s="32"/>
      <c r="F70" s="32"/>
      <c r="G70" s="56" t="s">
        <v>222</v>
      </c>
      <c r="H70" s="19" t="s">
        <v>223</v>
      </c>
      <c r="I70" s="62"/>
      <c r="J70" s="63"/>
      <c r="K70" s="63"/>
      <c r="L70" s="15"/>
      <c r="M70" s="15"/>
      <c r="N70" s="15"/>
      <c r="O70" s="15"/>
      <c r="P70" s="15"/>
      <c r="Q70" s="15"/>
      <c r="R70" s="15"/>
      <c r="S70" s="15"/>
      <c r="T70" s="15"/>
      <c r="U70" s="15"/>
      <c r="V70" s="15"/>
      <c r="W70" s="15"/>
      <c r="X70" s="15"/>
      <c r="Y70" s="15"/>
      <c r="Z70" s="15"/>
    </row>
    <row r="71" ht="12.75" customHeight="1">
      <c r="A71" s="37" t="str">
        <f t="shared" si="2"/>
        <v>ST_55</v>
      </c>
      <c r="B71" s="58"/>
      <c r="C71" s="56" t="s">
        <v>172</v>
      </c>
      <c r="D71" s="56" t="s">
        <v>180</v>
      </c>
      <c r="E71" s="79"/>
      <c r="F71" s="56" t="s">
        <v>224</v>
      </c>
      <c r="G71" s="56" t="s">
        <v>225</v>
      </c>
      <c r="H71" s="19" t="s">
        <v>226</v>
      </c>
      <c r="I71" s="62"/>
      <c r="J71" s="63"/>
      <c r="K71" s="63"/>
      <c r="L71" s="15"/>
      <c r="M71" s="15"/>
      <c r="N71" s="15"/>
      <c r="O71" s="15"/>
      <c r="P71" s="15"/>
      <c r="Q71" s="15"/>
      <c r="R71" s="15"/>
      <c r="S71" s="15"/>
      <c r="T71" s="15"/>
      <c r="U71" s="15"/>
      <c r="V71" s="15"/>
      <c r="W71" s="15"/>
      <c r="X71" s="15"/>
      <c r="Y71" s="15"/>
      <c r="Z71" s="15"/>
    </row>
    <row r="72" ht="12.75" customHeight="1">
      <c r="A72" s="37" t="str">
        <f t="shared" si="2"/>
        <v>ST_56</v>
      </c>
      <c r="B72" s="58"/>
      <c r="C72" s="58" t="s">
        <v>189</v>
      </c>
      <c r="D72" s="58" t="s">
        <v>190</v>
      </c>
      <c r="E72" s="58"/>
      <c r="F72" s="58" t="s">
        <v>192</v>
      </c>
      <c r="G72" s="56" t="s">
        <v>227</v>
      </c>
      <c r="H72" s="19" t="s">
        <v>228</v>
      </c>
      <c r="I72" s="62"/>
      <c r="J72" s="63"/>
      <c r="K72" s="63"/>
      <c r="L72" s="15"/>
      <c r="M72" s="15"/>
      <c r="N72" s="15"/>
      <c r="O72" s="15"/>
      <c r="P72" s="15"/>
      <c r="Q72" s="15"/>
      <c r="R72" s="15"/>
      <c r="S72" s="15"/>
      <c r="T72" s="15"/>
      <c r="U72" s="15"/>
      <c r="V72" s="15"/>
      <c r="W72" s="15"/>
      <c r="X72" s="15"/>
      <c r="Y72" s="15"/>
      <c r="Z72" s="15"/>
    </row>
    <row r="73" ht="12.75" customHeight="1">
      <c r="A73" s="37" t="str">
        <f t="shared" si="2"/>
        <v>ST_57</v>
      </c>
      <c r="B73" s="58"/>
      <c r="C73" s="32"/>
      <c r="D73" s="32"/>
      <c r="E73" s="32"/>
      <c r="F73" s="32"/>
      <c r="G73" s="56" t="s">
        <v>229</v>
      </c>
      <c r="H73" s="19" t="s">
        <v>230</v>
      </c>
      <c r="I73" s="62"/>
      <c r="J73" s="63"/>
      <c r="K73" s="63"/>
      <c r="L73" s="15"/>
      <c r="M73" s="15"/>
      <c r="N73" s="15"/>
      <c r="O73" s="15"/>
      <c r="P73" s="15"/>
      <c r="Q73" s="15"/>
      <c r="R73" s="15"/>
      <c r="S73" s="15"/>
      <c r="T73" s="15"/>
      <c r="U73" s="15"/>
      <c r="V73" s="15"/>
      <c r="W73" s="15"/>
      <c r="X73" s="15"/>
      <c r="Y73" s="15"/>
      <c r="Z73" s="15"/>
    </row>
    <row r="74" ht="12.75" customHeight="1">
      <c r="A74" s="37" t="str">
        <f t="shared" si="2"/>
        <v>ST_58</v>
      </c>
      <c r="B74" s="58"/>
      <c r="C74" s="79" t="s">
        <v>172</v>
      </c>
      <c r="D74" s="79"/>
      <c r="E74" s="79" t="s">
        <v>231</v>
      </c>
      <c r="F74" s="79" t="s">
        <v>232</v>
      </c>
      <c r="G74" s="56" t="s">
        <v>233</v>
      </c>
      <c r="H74" s="19" t="s">
        <v>234</v>
      </c>
      <c r="I74" s="62"/>
      <c r="J74" s="63"/>
      <c r="K74" s="63"/>
      <c r="L74" s="15"/>
      <c r="M74" s="15"/>
      <c r="N74" s="15"/>
      <c r="O74" s="15"/>
      <c r="P74" s="15"/>
      <c r="Q74" s="15"/>
      <c r="R74" s="15"/>
      <c r="S74" s="15"/>
      <c r="T74" s="15"/>
      <c r="U74" s="15"/>
      <c r="V74" s="15"/>
      <c r="W74" s="15"/>
      <c r="X74" s="15"/>
      <c r="Y74" s="15"/>
      <c r="Z74" s="15"/>
    </row>
    <row r="75" ht="12.75" customHeight="1">
      <c r="A75" s="37" t="str">
        <f t="shared" si="2"/>
        <v>ST_59</v>
      </c>
      <c r="B75" s="58"/>
      <c r="C75" s="79" t="s">
        <v>172</v>
      </c>
      <c r="D75" s="79"/>
      <c r="E75" s="79" t="s">
        <v>235</v>
      </c>
      <c r="F75" s="79" t="s">
        <v>236</v>
      </c>
      <c r="G75" s="56" t="s">
        <v>237</v>
      </c>
      <c r="H75" s="19" t="s">
        <v>238</v>
      </c>
      <c r="I75" s="62"/>
      <c r="J75" s="63"/>
      <c r="K75" s="63"/>
      <c r="L75" s="15"/>
      <c r="M75" s="15"/>
      <c r="N75" s="15"/>
      <c r="O75" s="15"/>
      <c r="P75" s="15"/>
      <c r="Q75" s="15"/>
      <c r="R75" s="15"/>
      <c r="S75" s="15"/>
      <c r="T75" s="15"/>
      <c r="U75" s="15"/>
      <c r="V75" s="15"/>
      <c r="W75" s="15"/>
      <c r="X75" s="15"/>
      <c r="Y75" s="15"/>
      <c r="Z75" s="15"/>
    </row>
    <row r="76" ht="12.75" customHeight="1">
      <c r="A76" s="37" t="str">
        <f t="shared" si="2"/>
        <v>ST_60</v>
      </c>
      <c r="B76" s="56"/>
      <c r="C76" s="56" t="s">
        <v>172</v>
      </c>
      <c r="D76" s="56"/>
      <c r="E76" s="56" t="s">
        <v>239</v>
      </c>
      <c r="F76" s="56" t="s">
        <v>240</v>
      </c>
      <c r="G76" s="56" t="s">
        <v>241</v>
      </c>
      <c r="H76" s="19" t="s">
        <v>242</v>
      </c>
      <c r="I76" s="62"/>
      <c r="J76" s="63"/>
      <c r="K76" s="63"/>
      <c r="L76" s="15"/>
      <c r="M76" s="15"/>
      <c r="N76" s="15"/>
      <c r="O76" s="15"/>
      <c r="P76" s="15"/>
      <c r="Q76" s="15"/>
      <c r="R76" s="15"/>
      <c r="S76" s="15"/>
      <c r="T76" s="15"/>
      <c r="U76" s="15"/>
      <c r="V76" s="15"/>
      <c r="W76" s="15"/>
      <c r="X76" s="15"/>
      <c r="Y76" s="15"/>
      <c r="Z76" s="15"/>
    </row>
    <row r="77" ht="19.5" customHeight="1">
      <c r="A77" s="37" t="str">
        <f t="shared" si="2"/>
        <v/>
      </c>
      <c r="B77" s="39" t="s">
        <v>243</v>
      </c>
      <c r="C77" s="41"/>
      <c r="D77" s="41"/>
      <c r="E77" s="41"/>
      <c r="F77" s="41"/>
      <c r="G77" s="41"/>
      <c r="H77" s="43"/>
      <c r="I77" s="45"/>
      <c r="J77" s="45"/>
      <c r="K77" s="46"/>
      <c r="L77" s="15"/>
      <c r="M77" s="15"/>
      <c r="N77" s="15"/>
      <c r="O77" s="15"/>
      <c r="P77" s="15"/>
      <c r="Q77" s="15"/>
      <c r="R77" s="15"/>
      <c r="S77" s="15"/>
      <c r="T77" s="15"/>
      <c r="U77" s="15"/>
      <c r="V77" s="15"/>
      <c r="W77" s="15"/>
      <c r="X77" s="15"/>
      <c r="Y77" s="15"/>
      <c r="Z77" s="15"/>
    </row>
    <row r="78" ht="17.25" customHeight="1">
      <c r="A78" s="37" t="str">
        <f t="shared" si="2"/>
        <v/>
      </c>
      <c r="B78" s="48" t="s">
        <v>244</v>
      </c>
      <c r="C78" s="49"/>
      <c r="D78" s="49"/>
      <c r="E78" s="49"/>
      <c r="F78" s="49"/>
      <c r="G78" s="50"/>
      <c r="H78" s="50"/>
      <c r="I78" s="50"/>
      <c r="J78" s="50"/>
      <c r="K78" s="52"/>
      <c r="L78" s="15"/>
      <c r="M78" s="15"/>
      <c r="N78" s="15"/>
      <c r="O78" s="15"/>
      <c r="P78" s="15"/>
      <c r="Q78" s="15"/>
      <c r="R78" s="15"/>
      <c r="S78" s="15"/>
      <c r="T78" s="15"/>
      <c r="U78" s="15"/>
      <c r="V78" s="15"/>
      <c r="W78" s="15"/>
      <c r="X78" s="15"/>
      <c r="Y78" s="15"/>
      <c r="Z78" s="15"/>
    </row>
    <row r="79" ht="12.75" customHeight="1">
      <c r="A79" s="37" t="str">
        <f t="shared" si="2"/>
        <v>ST_61</v>
      </c>
      <c r="B79" s="58" t="s">
        <v>245</v>
      </c>
      <c r="C79" s="79" t="s">
        <v>37</v>
      </c>
      <c r="D79" s="79" t="s">
        <v>246</v>
      </c>
      <c r="E79" s="79" t="s">
        <v>247</v>
      </c>
      <c r="F79" s="79" t="s">
        <v>248</v>
      </c>
      <c r="G79" s="56" t="s">
        <v>249</v>
      </c>
      <c r="H79" s="19" t="s">
        <v>250</v>
      </c>
      <c r="I79" s="62"/>
      <c r="J79" s="63"/>
      <c r="K79" s="63"/>
      <c r="L79" s="15"/>
      <c r="M79" s="15"/>
      <c r="N79" s="15"/>
      <c r="O79" s="15"/>
      <c r="P79" s="15"/>
      <c r="Q79" s="15"/>
      <c r="R79" s="15"/>
      <c r="S79" s="15"/>
      <c r="T79" s="15"/>
      <c r="U79" s="15"/>
      <c r="V79" s="15"/>
      <c r="W79" s="15"/>
      <c r="X79" s="15"/>
      <c r="Y79" s="15"/>
      <c r="Z79" s="15"/>
    </row>
    <row r="80" ht="12.75" customHeight="1">
      <c r="A80" s="37" t="str">
        <f t="shared" si="2"/>
        <v>ST_62</v>
      </c>
      <c r="B80" s="58"/>
      <c r="C80" s="56" t="s">
        <v>37</v>
      </c>
      <c r="D80" s="56"/>
      <c r="E80" s="56" t="s">
        <v>251</v>
      </c>
      <c r="F80" s="56" t="s">
        <v>252</v>
      </c>
      <c r="G80" s="56" t="s">
        <v>253</v>
      </c>
      <c r="H80" s="19" t="s">
        <v>242</v>
      </c>
      <c r="I80" s="62"/>
      <c r="J80" s="63"/>
      <c r="K80" s="63"/>
      <c r="L80" s="15"/>
      <c r="M80" s="15"/>
      <c r="N80" s="15"/>
      <c r="O80" s="15"/>
      <c r="P80" s="15"/>
      <c r="Q80" s="15"/>
      <c r="R80" s="15"/>
      <c r="S80" s="15"/>
      <c r="T80" s="15"/>
      <c r="U80" s="15"/>
      <c r="V80" s="15"/>
      <c r="W80" s="15"/>
      <c r="X80" s="15"/>
      <c r="Y80" s="15"/>
      <c r="Z80" s="15"/>
    </row>
    <row r="81" ht="12.75" customHeight="1">
      <c r="A81" s="37" t="str">
        <f t="shared" si="2"/>
        <v>ST_63</v>
      </c>
      <c r="B81" s="58" t="s">
        <v>254</v>
      </c>
      <c r="C81" s="58" t="s">
        <v>37</v>
      </c>
      <c r="D81" s="58" t="s">
        <v>255</v>
      </c>
      <c r="E81" s="58" t="s">
        <v>256</v>
      </c>
      <c r="F81" s="58" t="s">
        <v>257</v>
      </c>
      <c r="G81" s="56" t="s">
        <v>258</v>
      </c>
      <c r="H81" s="19" t="s">
        <v>259</v>
      </c>
      <c r="I81" s="62"/>
      <c r="J81" s="63"/>
      <c r="K81" s="63"/>
      <c r="L81" s="15"/>
      <c r="M81" s="15"/>
      <c r="N81" s="15"/>
      <c r="O81" s="15"/>
      <c r="P81" s="15"/>
      <c r="Q81" s="15"/>
      <c r="R81" s="15"/>
      <c r="S81" s="15"/>
      <c r="T81" s="15"/>
      <c r="U81" s="15"/>
      <c r="V81" s="15"/>
      <c r="W81" s="15"/>
      <c r="X81" s="15"/>
      <c r="Y81" s="15"/>
      <c r="Z81" s="15"/>
    </row>
    <row r="82" ht="12.75" customHeight="1">
      <c r="A82" s="37" t="str">
        <f t="shared" si="2"/>
        <v>ST_64</v>
      </c>
      <c r="B82" s="32"/>
      <c r="C82" s="32"/>
      <c r="D82" s="32"/>
      <c r="E82" s="32"/>
      <c r="F82" s="32"/>
      <c r="G82" s="56" t="s">
        <v>260</v>
      </c>
      <c r="H82" s="19" t="s">
        <v>261</v>
      </c>
      <c r="I82" s="62"/>
      <c r="J82" s="63"/>
      <c r="K82" s="63"/>
      <c r="L82" s="15"/>
      <c r="M82" s="15"/>
      <c r="N82" s="15"/>
      <c r="O82" s="15"/>
      <c r="P82" s="15"/>
      <c r="Q82" s="15"/>
      <c r="R82" s="15"/>
      <c r="S82" s="15"/>
      <c r="T82" s="15"/>
      <c r="U82" s="15"/>
      <c r="V82" s="15"/>
      <c r="W82" s="15"/>
      <c r="X82" s="15"/>
      <c r="Y82" s="15"/>
      <c r="Z82" s="15"/>
    </row>
    <row r="83" ht="51.0" customHeight="1">
      <c r="A83" s="37" t="str">
        <f t="shared" si="2"/>
        <v>ST_65</v>
      </c>
      <c r="B83" s="58"/>
      <c r="C83" s="58" t="s">
        <v>189</v>
      </c>
      <c r="D83" s="58" t="s">
        <v>262</v>
      </c>
      <c r="E83" s="58"/>
      <c r="F83" s="58" t="s">
        <v>263</v>
      </c>
      <c r="G83" s="56" t="s">
        <v>264</v>
      </c>
      <c r="H83" s="19" t="s">
        <v>265</v>
      </c>
      <c r="I83" s="62"/>
      <c r="J83" s="63"/>
      <c r="K83" s="63"/>
      <c r="L83" s="15"/>
      <c r="M83" s="15"/>
      <c r="N83" s="15"/>
      <c r="O83" s="15"/>
      <c r="P83" s="15"/>
      <c r="Q83" s="15"/>
      <c r="R83" s="15"/>
      <c r="S83" s="15"/>
      <c r="T83" s="15"/>
      <c r="U83" s="15"/>
      <c r="V83" s="15"/>
      <c r="W83" s="15"/>
      <c r="X83" s="15"/>
      <c r="Y83" s="15"/>
      <c r="Z83" s="15"/>
    </row>
    <row r="84" ht="48.0" customHeight="1">
      <c r="A84" s="37" t="str">
        <f t="shared" si="2"/>
        <v>ST_66</v>
      </c>
      <c r="B84" s="73"/>
      <c r="C84" s="73"/>
      <c r="D84" s="73"/>
      <c r="E84" s="32"/>
      <c r="F84" s="32"/>
      <c r="G84" s="56" t="s">
        <v>266</v>
      </c>
      <c r="H84" s="19" t="s">
        <v>265</v>
      </c>
      <c r="I84" s="62"/>
      <c r="J84" s="63"/>
      <c r="K84" s="63"/>
      <c r="L84" s="15"/>
      <c r="M84" s="15"/>
      <c r="N84" s="15"/>
      <c r="O84" s="15"/>
      <c r="P84" s="15"/>
      <c r="Q84" s="15"/>
      <c r="R84" s="15"/>
      <c r="S84" s="15"/>
      <c r="T84" s="15"/>
      <c r="U84" s="15"/>
      <c r="V84" s="15"/>
      <c r="W84" s="15"/>
      <c r="X84" s="15"/>
      <c r="Y84" s="15"/>
      <c r="Z84" s="15"/>
    </row>
    <row r="85" ht="409.5" customHeight="1">
      <c r="A85" s="37" t="str">
        <f t="shared" si="2"/>
        <v>ST_67</v>
      </c>
      <c r="B85" s="32"/>
      <c r="C85" s="32"/>
      <c r="D85" s="32"/>
      <c r="E85" s="56" t="s">
        <v>267</v>
      </c>
      <c r="F85" s="56" t="s">
        <v>268</v>
      </c>
      <c r="G85" s="56" t="s">
        <v>269</v>
      </c>
      <c r="H85" s="19" t="s">
        <v>270</v>
      </c>
      <c r="I85" s="62"/>
      <c r="J85" s="63"/>
      <c r="K85" s="63"/>
      <c r="L85" s="15"/>
      <c r="M85" s="15"/>
      <c r="N85" s="15"/>
      <c r="O85" s="15"/>
      <c r="P85" s="15"/>
      <c r="Q85" s="15"/>
      <c r="R85" s="15"/>
      <c r="S85" s="15"/>
      <c r="T85" s="15"/>
      <c r="U85" s="15"/>
      <c r="V85" s="15"/>
      <c r="W85" s="15"/>
      <c r="X85" s="15"/>
      <c r="Y85" s="15"/>
      <c r="Z85" s="15"/>
    </row>
    <row r="86" ht="17.25" customHeight="1">
      <c r="A86" s="37" t="str">
        <f t="shared" si="2"/>
        <v/>
      </c>
      <c r="B86" s="48" t="s">
        <v>271</v>
      </c>
      <c r="C86" s="49"/>
      <c r="D86" s="49"/>
      <c r="E86" s="49"/>
      <c r="F86" s="49"/>
      <c r="G86" s="50"/>
      <c r="H86" s="50"/>
      <c r="I86" s="50"/>
      <c r="J86" s="50"/>
      <c r="K86" s="52"/>
      <c r="L86" s="15"/>
      <c r="M86" s="15"/>
      <c r="N86" s="15"/>
      <c r="O86" s="15"/>
      <c r="P86" s="15"/>
      <c r="Q86" s="15"/>
      <c r="R86" s="15"/>
      <c r="S86" s="15"/>
      <c r="T86" s="15"/>
      <c r="U86" s="15"/>
      <c r="V86" s="15"/>
      <c r="W86" s="15"/>
      <c r="X86" s="15"/>
      <c r="Y86" s="15"/>
      <c r="Z86" s="15"/>
    </row>
    <row r="87" ht="12.75" customHeight="1">
      <c r="A87" s="37" t="str">
        <f t="shared" si="2"/>
        <v>ST_68</v>
      </c>
      <c r="B87" s="56" t="s">
        <v>35</v>
      </c>
      <c r="C87" s="79" t="s">
        <v>37</v>
      </c>
      <c r="D87" s="79" t="s">
        <v>272</v>
      </c>
      <c r="E87" s="79" t="s">
        <v>273</v>
      </c>
      <c r="F87" s="79" t="s">
        <v>274</v>
      </c>
      <c r="G87" s="56" t="s">
        <v>275</v>
      </c>
      <c r="H87" s="19" t="s">
        <v>276</v>
      </c>
      <c r="I87" s="62"/>
      <c r="J87" s="63"/>
      <c r="K87" s="63"/>
      <c r="L87" s="15"/>
      <c r="M87" s="15"/>
      <c r="N87" s="15"/>
      <c r="O87" s="15"/>
      <c r="P87" s="15"/>
      <c r="Q87" s="15"/>
      <c r="R87" s="15"/>
      <c r="S87" s="15"/>
      <c r="T87" s="15"/>
      <c r="U87" s="15"/>
      <c r="V87" s="15"/>
      <c r="W87" s="15"/>
      <c r="X87" s="15"/>
      <c r="Y87" s="15"/>
      <c r="Z87" s="15"/>
    </row>
    <row r="88" ht="12.75" customHeight="1">
      <c r="A88" s="37" t="str">
        <f t="shared" si="2"/>
        <v>ST_69</v>
      </c>
      <c r="B88" s="56" t="s">
        <v>35</v>
      </c>
      <c r="C88" s="79" t="s">
        <v>37</v>
      </c>
      <c r="D88" s="79" t="s">
        <v>272</v>
      </c>
      <c r="E88" s="79" t="s">
        <v>273</v>
      </c>
      <c r="F88" s="79" t="s">
        <v>277</v>
      </c>
      <c r="G88" s="56" t="s">
        <v>278</v>
      </c>
      <c r="H88" s="19" t="s">
        <v>279</v>
      </c>
      <c r="I88" s="62"/>
      <c r="J88" s="63"/>
      <c r="K88" s="63"/>
      <c r="L88" s="15"/>
      <c r="M88" s="15"/>
      <c r="N88" s="15"/>
      <c r="O88" s="15"/>
      <c r="P88" s="15"/>
      <c r="Q88" s="15"/>
      <c r="R88" s="15"/>
      <c r="S88" s="15"/>
      <c r="T88" s="15"/>
      <c r="U88" s="15"/>
      <c r="V88" s="15"/>
      <c r="W88" s="15"/>
      <c r="X88" s="15"/>
      <c r="Y88" s="15"/>
      <c r="Z88" s="15"/>
    </row>
    <row r="89" ht="12.75" customHeight="1">
      <c r="A89" s="37" t="str">
        <f t="shared" si="2"/>
        <v>ST_70</v>
      </c>
      <c r="B89" s="56" t="s">
        <v>35</v>
      </c>
      <c r="C89" s="79" t="s">
        <v>37</v>
      </c>
      <c r="D89" s="79" t="s">
        <v>280</v>
      </c>
      <c r="E89" s="79" t="s">
        <v>273</v>
      </c>
      <c r="F89" s="79" t="s">
        <v>281</v>
      </c>
      <c r="G89" s="56" t="s">
        <v>282</v>
      </c>
      <c r="H89" s="19" t="s">
        <v>283</v>
      </c>
      <c r="I89" s="62"/>
      <c r="J89" s="63"/>
      <c r="K89" s="63"/>
      <c r="L89" s="15"/>
      <c r="M89" s="15"/>
      <c r="N89" s="15"/>
      <c r="O89" s="15"/>
      <c r="P89" s="15"/>
      <c r="Q89" s="15"/>
      <c r="R89" s="15"/>
      <c r="S89" s="15"/>
      <c r="T89" s="15"/>
      <c r="U89" s="15"/>
      <c r="V89" s="15"/>
      <c r="W89" s="15"/>
      <c r="X89" s="15"/>
      <c r="Y89" s="15"/>
      <c r="Z89" s="15"/>
    </row>
    <row r="90" ht="12.75" customHeight="1">
      <c r="A90" s="37" t="str">
        <f t="shared" si="2"/>
        <v>ST_71</v>
      </c>
      <c r="B90" s="56"/>
      <c r="C90" s="79" t="s">
        <v>37</v>
      </c>
      <c r="D90" s="79" t="s">
        <v>284</v>
      </c>
      <c r="E90" s="79" t="s">
        <v>273</v>
      </c>
      <c r="F90" s="79" t="s">
        <v>285</v>
      </c>
      <c r="G90" s="56" t="s">
        <v>286</v>
      </c>
      <c r="H90" s="19" t="s">
        <v>287</v>
      </c>
      <c r="I90" s="62"/>
      <c r="J90" s="63"/>
      <c r="K90" s="63"/>
      <c r="L90" s="15"/>
      <c r="M90" s="15"/>
      <c r="N90" s="15"/>
      <c r="O90" s="15"/>
      <c r="P90" s="15"/>
      <c r="Q90" s="15"/>
      <c r="R90" s="15"/>
      <c r="S90" s="15"/>
      <c r="T90" s="15"/>
      <c r="U90" s="15"/>
      <c r="V90" s="15"/>
      <c r="W90" s="15"/>
      <c r="X90" s="15"/>
      <c r="Y90" s="15"/>
      <c r="Z90" s="15"/>
    </row>
    <row r="91" ht="12.75" customHeight="1">
      <c r="A91" s="37" t="str">
        <f t="shared" si="2"/>
        <v>ST_72</v>
      </c>
      <c r="B91" s="56" t="s">
        <v>35</v>
      </c>
      <c r="C91" s="79" t="s">
        <v>37</v>
      </c>
      <c r="D91" s="79" t="s">
        <v>288</v>
      </c>
      <c r="E91" s="79" t="s">
        <v>273</v>
      </c>
      <c r="F91" s="79" t="s">
        <v>289</v>
      </c>
      <c r="G91" s="56" t="s">
        <v>290</v>
      </c>
      <c r="H91" s="19" t="s">
        <v>291</v>
      </c>
      <c r="I91" s="62"/>
      <c r="J91" s="63"/>
      <c r="K91" s="63"/>
      <c r="L91" s="15"/>
      <c r="M91" s="15"/>
      <c r="N91" s="15"/>
      <c r="O91" s="15"/>
      <c r="P91" s="15"/>
      <c r="Q91" s="15"/>
      <c r="R91" s="15"/>
      <c r="S91" s="15"/>
      <c r="T91" s="15"/>
      <c r="U91" s="15"/>
      <c r="V91" s="15"/>
      <c r="W91" s="15"/>
      <c r="X91" s="15"/>
      <c r="Y91" s="15"/>
      <c r="Z91" s="15"/>
    </row>
    <row r="92" ht="12.75" customHeight="1">
      <c r="A92" s="37" t="str">
        <f t="shared" si="2"/>
        <v>ST_73</v>
      </c>
      <c r="B92" s="56" t="s">
        <v>35</v>
      </c>
      <c r="C92" s="79" t="s">
        <v>37</v>
      </c>
      <c r="D92" s="79" t="s">
        <v>292</v>
      </c>
      <c r="E92" s="79" t="s">
        <v>273</v>
      </c>
      <c r="F92" s="79" t="s">
        <v>285</v>
      </c>
      <c r="G92" s="56" t="s">
        <v>293</v>
      </c>
      <c r="H92" s="19" t="s">
        <v>294</v>
      </c>
      <c r="I92" s="62"/>
      <c r="J92" s="63"/>
      <c r="K92" s="63"/>
      <c r="L92" s="15"/>
      <c r="M92" s="15"/>
      <c r="N92" s="15"/>
      <c r="O92" s="15"/>
      <c r="P92" s="15"/>
      <c r="Q92" s="15"/>
      <c r="R92" s="15"/>
      <c r="S92" s="15"/>
      <c r="T92" s="15"/>
      <c r="U92" s="15"/>
      <c r="V92" s="15"/>
      <c r="W92" s="15"/>
      <c r="X92" s="15"/>
      <c r="Y92" s="15"/>
      <c r="Z92" s="15"/>
    </row>
    <row r="93" ht="51.0" customHeight="1">
      <c r="A93" s="37" t="str">
        <f t="shared" si="2"/>
        <v>ST_74</v>
      </c>
      <c r="B93" s="58" t="s">
        <v>35</v>
      </c>
      <c r="C93" s="58" t="s">
        <v>37</v>
      </c>
      <c r="D93" s="58" t="s">
        <v>295</v>
      </c>
      <c r="E93" s="58" t="s">
        <v>273</v>
      </c>
      <c r="F93" s="58" t="s">
        <v>296</v>
      </c>
      <c r="G93" s="56" t="s">
        <v>297</v>
      </c>
      <c r="H93" s="67" t="s">
        <v>298</v>
      </c>
      <c r="I93" s="62"/>
      <c r="J93" s="63"/>
      <c r="K93" s="63"/>
      <c r="L93" s="15"/>
      <c r="M93" s="15"/>
      <c r="N93" s="15"/>
      <c r="O93" s="15"/>
      <c r="P93" s="15"/>
      <c r="Q93" s="15"/>
      <c r="R93" s="15"/>
      <c r="S93" s="15"/>
      <c r="T93" s="15"/>
      <c r="U93" s="15"/>
      <c r="V93" s="15"/>
      <c r="W93" s="15"/>
      <c r="X93" s="15"/>
      <c r="Y93" s="15"/>
      <c r="Z93" s="15"/>
    </row>
    <row r="94" ht="12.75" customHeight="1">
      <c r="A94" s="37" t="str">
        <f t="shared" si="2"/>
        <v>ST_75</v>
      </c>
      <c r="B94" s="32"/>
      <c r="C94" s="32"/>
      <c r="D94" s="32"/>
      <c r="E94" s="32"/>
      <c r="F94" s="32"/>
      <c r="G94" s="56" t="s">
        <v>299</v>
      </c>
      <c r="H94" s="19" t="s">
        <v>300</v>
      </c>
      <c r="I94" s="62"/>
      <c r="J94" s="63"/>
      <c r="K94" s="63"/>
      <c r="L94" s="15"/>
      <c r="M94" s="15"/>
      <c r="N94" s="15"/>
      <c r="O94" s="15"/>
      <c r="P94" s="15"/>
      <c r="Q94" s="15"/>
      <c r="R94" s="15"/>
      <c r="S94" s="15"/>
      <c r="T94" s="15"/>
      <c r="U94" s="15"/>
      <c r="V94" s="15"/>
      <c r="W94" s="15"/>
      <c r="X94" s="15"/>
      <c r="Y94" s="15"/>
      <c r="Z94" s="15"/>
    </row>
    <row r="95" ht="12.75" customHeight="1">
      <c r="A95" s="37" t="str">
        <f t="shared" si="2"/>
        <v>ST_76</v>
      </c>
      <c r="B95" s="56" t="s">
        <v>35</v>
      </c>
      <c r="C95" s="79" t="s">
        <v>37</v>
      </c>
      <c r="D95" s="79" t="s">
        <v>301</v>
      </c>
      <c r="E95" s="56" t="s">
        <v>273</v>
      </c>
      <c r="F95" s="79" t="s">
        <v>302</v>
      </c>
      <c r="G95" s="56" t="s">
        <v>303</v>
      </c>
      <c r="H95" s="19" t="s">
        <v>304</v>
      </c>
      <c r="I95" s="62"/>
      <c r="J95" s="63"/>
      <c r="K95" s="63"/>
      <c r="L95" s="15"/>
      <c r="M95" s="15"/>
      <c r="N95" s="15"/>
      <c r="O95" s="15"/>
      <c r="P95" s="15"/>
      <c r="Q95" s="15"/>
      <c r="R95" s="15"/>
      <c r="S95" s="15"/>
      <c r="T95" s="15"/>
      <c r="U95" s="15"/>
      <c r="V95" s="15"/>
      <c r="W95" s="15"/>
      <c r="X95" s="15"/>
      <c r="Y95" s="15"/>
      <c r="Z95" s="15"/>
    </row>
    <row r="96" ht="12.75" customHeight="1">
      <c r="A96" s="37" t="str">
        <f t="shared" si="2"/>
        <v>ST_77</v>
      </c>
      <c r="B96" s="58" t="s">
        <v>35</v>
      </c>
      <c r="C96" s="58" t="s">
        <v>37</v>
      </c>
      <c r="D96" s="58" t="s">
        <v>305</v>
      </c>
      <c r="E96" s="58" t="s">
        <v>273</v>
      </c>
      <c r="F96" s="58" t="s">
        <v>306</v>
      </c>
      <c r="G96" s="56" t="s">
        <v>307</v>
      </c>
      <c r="H96" s="19" t="s">
        <v>308</v>
      </c>
      <c r="I96" s="62"/>
      <c r="J96" s="63"/>
      <c r="K96" s="63"/>
      <c r="L96" s="15"/>
      <c r="M96" s="15"/>
      <c r="N96" s="15"/>
      <c r="O96" s="15"/>
      <c r="P96" s="15"/>
      <c r="Q96" s="15"/>
      <c r="R96" s="15"/>
      <c r="S96" s="15"/>
      <c r="T96" s="15"/>
      <c r="U96" s="15"/>
      <c r="V96" s="15"/>
      <c r="W96" s="15"/>
      <c r="X96" s="15"/>
      <c r="Y96" s="15"/>
      <c r="Z96" s="15"/>
    </row>
    <row r="97" ht="12.75" customHeight="1">
      <c r="A97" s="37" t="str">
        <f t="shared" si="2"/>
        <v>ST_78</v>
      </c>
      <c r="B97" s="73"/>
      <c r="C97" s="73"/>
      <c r="D97" s="73"/>
      <c r="E97" s="73"/>
      <c r="F97" s="73"/>
      <c r="G97" s="56" t="s">
        <v>309</v>
      </c>
      <c r="H97" s="67" t="s">
        <v>310</v>
      </c>
      <c r="I97" s="62"/>
      <c r="J97" s="63"/>
      <c r="K97" s="63"/>
      <c r="L97" s="15"/>
      <c r="M97" s="15"/>
      <c r="N97" s="15"/>
      <c r="O97" s="15"/>
      <c r="P97" s="15"/>
      <c r="Q97" s="15"/>
      <c r="R97" s="15"/>
      <c r="S97" s="15"/>
      <c r="T97" s="15"/>
      <c r="U97" s="15"/>
      <c r="V97" s="15"/>
      <c r="W97" s="15"/>
      <c r="X97" s="15"/>
      <c r="Y97" s="15"/>
      <c r="Z97" s="15"/>
    </row>
    <row r="98" ht="12.75" customHeight="1">
      <c r="A98" s="37" t="str">
        <f t="shared" si="2"/>
        <v>ST_79</v>
      </c>
      <c r="B98" s="32"/>
      <c r="C98" s="32"/>
      <c r="D98" s="32"/>
      <c r="E98" s="32"/>
      <c r="F98" s="32"/>
      <c r="G98" s="56" t="s">
        <v>311</v>
      </c>
      <c r="H98" s="19" t="s">
        <v>312</v>
      </c>
      <c r="I98" s="62"/>
      <c r="J98" s="63"/>
      <c r="K98" s="63"/>
      <c r="L98" s="15"/>
      <c r="M98" s="15"/>
      <c r="N98" s="15"/>
      <c r="O98" s="15"/>
      <c r="P98" s="15"/>
      <c r="Q98" s="15"/>
      <c r="R98" s="15"/>
      <c r="S98" s="15"/>
      <c r="T98" s="15"/>
      <c r="U98" s="15"/>
      <c r="V98" s="15"/>
      <c r="W98" s="15"/>
      <c r="X98" s="15"/>
      <c r="Y98" s="15"/>
      <c r="Z98" s="15"/>
    </row>
    <row r="99" ht="12.75" customHeight="1">
      <c r="A99" s="37" t="str">
        <f t="shared" si="2"/>
        <v>ST_80</v>
      </c>
      <c r="B99" s="58" t="s">
        <v>35</v>
      </c>
      <c r="C99" s="58" t="s">
        <v>37</v>
      </c>
      <c r="D99" s="58" t="s">
        <v>313</v>
      </c>
      <c r="E99" s="58" t="s">
        <v>273</v>
      </c>
      <c r="F99" s="58" t="s">
        <v>314</v>
      </c>
      <c r="G99" s="56" t="s">
        <v>315</v>
      </c>
      <c r="H99" s="19" t="s">
        <v>316</v>
      </c>
      <c r="I99" s="62"/>
      <c r="J99" s="63"/>
      <c r="K99" s="63"/>
      <c r="L99" s="15"/>
      <c r="M99" s="15"/>
      <c r="N99" s="15"/>
      <c r="O99" s="15"/>
      <c r="P99" s="15"/>
      <c r="Q99" s="15"/>
      <c r="R99" s="15"/>
      <c r="S99" s="15"/>
      <c r="T99" s="15"/>
      <c r="U99" s="15"/>
      <c r="V99" s="15"/>
      <c r="W99" s="15"/>
      <c r="X99" s="15"/>
      <c r="Y99" s="15"/>
      <c r="Z99" s="15"/>
    </row>
    <row r="100" ht="12.75" customHeight="1">
      <c r="A100" s="37" t="str">
        <f t="shared" si="2"/>
        <v>ST_81</v>
      </c>
      <c r="B100" s="73"/>
      <c r="C100" s="73"/>
      <c r="D100" s="73"/>
      <c r="E100" s="73"/>
      <c r="F100" s="73"/>
      <c r="G100" s="56" t="s">
        <v>317</v>
      </c>
      <c r="H100" s="19" t="s">
        <v>318</v>
      </c>
      <c r="I100" s="62"/>
      <c r="J100" s="63"/>
      <c r="K100" s="63"/>
      <c r="L100" s="15"/>
      <c r="M100" s="15"/>
      <c r="N100" s="15"/>
      <c r="O100" s="15"/>
      <c r="P100" s="15"/>
      <c r="Q100" s="15"/>
      <c r="R100" s="15"/>
      <c r="S100" s="15"/>
      <c r="T100" s="15"/>
      <c r="U100" s="15"/>
      <c r="V100" s="15"/>
      <c r="W100" s="15"/>
      <c r="X100" s="15"/>
      <c r="Y100" s="15"/>
      <c r="Z100" s="15"/>
    </row>
    <row r="101" ht="12.75" customHeight="1">
      <c r="A101" s="37" t="str">
        <f t="shared" si="2"/>
        <v>ST_82</v>
      </c>
      <c r="B101" s="32"/>
      <c r="C101" s="32"/>
      <c r="D101" s="32"/>
      <c r="E101" s="32"/>
      <c r="F101" s="32"/>
      <c r="G101" s="56" t="s">
        <v>319</v>
      </c>
      <c r="H101" s="19" t="s">
        <v>320</v>
      </c>
      <c r="I101" s="62"/>
      <c r="J101" s="63"/>
      <c r="K101" s="63"/>
      <c r="L101" s="15"/>
      <c r="M101" s="15"/>
      <c r="N101" s="15"/>
      <c r="O101" s="15"/>
      <c r="P101" s="15"/>
      <c r="Q101" s="15"/>
      <c r="R101" s="15"/>
      <c r="S101" s="15"/>
      <c r="T101" s="15"/>
      <c r="U101" s="15"/>
      <c r="V101" s="15"/>
      <c r="W101" s="15"/>
      <c r="X101" s="15"/>
      <c r="Y101" s="15"/>
      <c r="Z101" s="15"/>
    </row>
    <row r="102" ht="12.75" customHeight="1">
      <c r="A102" s="37" t="str">
        <f t="shared" si="2"/>
        <v>ST_83</v>
      </c>
      <c r="B102" s="56" t="s">
        <v>35</v>
      </c>
      <c r="C102" s="56" t="s">
        <v>37</v>
      </c>
      <c r="D102" s="56" t="s">
        <v>321</v>
      </c>
      <c r="E102" s="56" t="s">
        <v>273</v>
      </c>
      <c r="F102" s="56" t="s">
        <v>314</v>
      </c>
      <c r="G102" s="56" t="s">
        <v>322</v>
      </c>
      <c r="H102" s="19" t="s">
        <v>323</v>
      </c>
      <c r="I102" s="62"/>
      <c r="J102" s="63"/>
      <c r="K102" s="63"/>
      <c r="L102" s="15"/>
      <c r="M102" s="15"/>
      <c r="N102" s="15"/>
      <c r="O102" s="15"/>
      <c r="P102" s="15"/>
      <c r="Q102" s="15"/>
      <c r="R102" s="15"/>
      <c r="S102" s="15"/>
      <c r="T102" s="15"/>
      <c r="U102" s="15"/>
      <c r="V102" s="15"/>
      <c r="W102" s="15"/>
      <c r="X102" s="15"/>
      <c r="Y102" s="15"/>
      <c r="Z102" s="15"/>
    </row>
    <row r="103" ht="12.75" customHeight="1">
      <c r="A103" s="37" t="str">
        <f t="shared" si="2"/>
        <v>ST_84</v>
      </c>
      <c r="B103" s="56" t="s">
        <v>35</v>
      </c>
      <c r="C103" s="56" t="s">
        <v>37</v>
      </c>
      <c r="D103" s="56" t="s">
        <v>324</v>
      </c>
      <c r="E103" s="56" t="s">
        <v>273</v>
      </c>
      <c r="F103" s="56" t="s">
        <v>325</v>
      </c>
      <c r="G103" s="56" t="s">
        <v>326</v>
      </c>
      <c r="H103" s="19" t="s">
        <v>327</v>
      </c>
      <c r="I103" s="62"/>
      <c r="J103" s="63"/>
      <c r="K103" s="63"/>
      <c r="L103" s="15"/>
      <c r="M103" s="15"/>
      <c r="N103" s="15"/>
      <c r="O103" s="15"/>
      <c r="P103" s="15"/>
      <c r="Q103" s="15"/>
      <c r="R103" s="15"/>
      <c r="S103" s="15"/>
      <c r="T103" s="15"/>
      <c r="U103" s="15"/>
      <c r="V103" s="15"/>
      <c r="W103" s="15"/>
      <c r="X103" s="15"/>
      <c r="Y103" s="15"/>
      <c r="Z103" s="15"/>
    </row>
    <row r="104" ht="12.75" customHeight="1">
      <c r="A104" s="37" t="str">
        <f t="shared" si="2"/>
        <v>ST_85</v>
      </c>
      <c r="B104" s="56" t="s">
        <v>35</v>
      </c>
      <c r="C104" s="79" t="s">
        <v>89</v>
      </c>
      <c r="D104" s="79" t="s">
        <v>328</v>
      </c>
      <c r="E104" s="79" t="s">
        <v>329</v>
      </c>
      <c r="F104" s="79" t="s">
        <v>330</v>
      </c>
      <c r="G104" s="56" t="s">
        <v>331</v>
      </c>
      <c r="H104" s="19" t="s">
        <v>332</v>
      </c>
      <c r="I104" s="62"/>
      <c r="J104" s="63"/>
      <c r="K104" s="63"/>
      <c r="L104" s="15"/>
      <c r="M104" s="15"/>
      <c r="N104" s="15"/>
      <c r="O104" s="15"/>
      <c r="P104" s="15"/>
      <c r="Q104" s="15"/>
      <c r="R104" s="15"/>
      <c r="S104" s="15"/>
      <c r="T104" s="15"/>
      <c r="U104" s="15"/>
      <c r="V104" s="15"/>
      <c r="W104" s="15"/>
      <c r="X104" s="15"/>
      <c r="Y104" s="15"/>
      <c r="Z104" s="15"/>
    </row>
    <row r="105" ht="12.75" customHeight="1">
      <c r="A105" s="37" t="str">
        <f t="shared" si="2"/>
        <v>ST_86</v>
      </c>
      <c r="B105" s="56" t="s">
        <v>35</v>
      </c>
      <c r="C105" s="79" t="s">
        <v>89</v>
      </c>
      <c r="D105" s="79" t="s">
        <v>333</v>
      </c>
      <c r="E105" s="79" t="s">
        <v>329</v>
      </c>
      <c r="F105" s="79" t="s">
        <v>334</v>
      </c>
      <c r="G105" s="56" t="s">
        <v>335</v>
      </c>
      <c r="H105" s="19" t="s">
        <v>336</v>
      </c>
      <c r="I105" s="62"/>
      <c r="J105" s="63"/>
      <c r="K105" s="63"/>
      <c r="L105" s="15"/>
      <c r="M105" s="15"/>
      <c r="N105" s="15"/>
      <c r="O105" s="15"/>
      <c r="P105" s="15"/>
      <c r="Q105" s="15"/>
      <c r="R105" s="15"/>
      <c r="S105" s="15"/>
      <c r="T105" s="15"/>
      <c r="U105" s="15"/>
      <c r="V105" s="15"/>
      <c r="W105" s="15"/>
      <c r="X105" s="15"/>
      <c r="Y105" s="15"/>
      <c r="Z105" s="15"/>
    </row>
    <row r="106" ht="12.75" customHeight="1">
      <c r="A106" s="37" t="str">
        <f t="shared" si="2"/>
        <v>ST_87</v>
      </c>
      <c r="B106" s="58" t="s">
        <v>35</v>
      </c>
      <c r="C106" s="58" t="s">
        <v>89</v>
      </c>
      <c r="D106" s="58" t="s">
        <v>337</v>
      </c>
      <c r="E106" s="58" t="s">
        <v>329</v>
      </c>
      <c r="F106" s="58" t="s">
        <v>338</v>
      </c>
      <c r="G106" s="56" t="s">
        <v>339</v>
      </c>
      <c r="H106" s="67" t="s">
        <v>340</v>
      </c>
      <c r="I106" s="62"/>
      <c r="J106" s="63"/>
      <c r="K106" s="63"/>
      <c r="L106" s="15"/>
      <c r="M106" s="15"/>
      <c r="N106" s="15"/>
      <c r="O106" s="15"/>
      <c r="P106" s="15"/>
      <c r="Q106" s="15"/>
      <c r="R106" s="15"/>
      <c r="S106" s="15"/>
      <c r="T106" s="15"/>
      <c r="U106" s="15"/>
      <c r="V106" s="15"/>
      <c r="W106" s="15"/>
      <c r="X106" s="15"/>
      <c r="Y106" s="15"/>
      <c r="Z106" s="15"/>
    </row>
    <row r="107" ht="59.25" customHeight="1">
      <c r="A107" s="37" t="str">
        <f t="shared" si="2"/>
        <v>ST_88</v>
      </c>
      <c r="B107" s="32"/>
      <c r="C107" s="32"/>
      <c r="D107" s="32"/>
      <c r="E107" s="32"/>
      <c r="F107" s="32"/>
      <c r="G107" s="56" t="s">
        <v>143</v>
      </c>
      <c r="H107" s="67" t="s">
        <v>341</v>
      </c>
      <c r="I107" s="62"/>
      <c r="J107" s="63"/>
      <c r="K107" s="63"/>
      <c r="L107" s="15"/>
      <c r="M107" s="15"/>
      <c r="N107" s="15"/>
      <c r="O107" s="15"/>
      <c r="P107" s="15"/>
      <c r="Q107" s="15"/>
      <c r="R107" s="15"/>
      <c r="S107" s="15"/>
      <c r="T107" s="15"/>
      <c r="U107" s="15"/>
      <c r="V107" s="15"/>
      <c r="W107" s="15"/>
      <c r="X107" s="15"/>
      <c r="Y107" s="15"/>
      <c r="Z107" s="15"/>
    </row>
    <row r="108" ht="115.5" customHeight="1">
      <c r="A108" s="37" t="str">
        <f t="shared" si="2"/>
        <v>ST_89</v>
      </c>
      <c r="B108" s="58" t="s">
        <v>35</v>
      </c>
      <c r="C108" s="58" t="s">
        <v>89</v>
      </c>
      <c r="D108" s="58" t="s">
        <v>342</v>
      </c>
      <c r="E108" s="58" t="s">
        <v>343</v>
      </c>
      <c r="F108" s="58" t="s">
        <v>344</v>
      </c>
      <c r="G108" s="56" t="s">
        <v>345</v>
      </c>
      <c r="H108" s="67" t="s">
        <v>346</v>
      </c>
      <c r="I108" s="62"/>
      <c r="J108" s="63"/>
      <c r="K108" s="63"/>
      <c r="L108" s="15"/>
      <c r="M108" s="15"/>
      <c r="N108" s="15"/>
      <c r="O108" s="15"/>
      <c r="P108" s="15"/>
      <c r="Q108" s="15"/>
      <c r="R108" s="15"/>
      <c r="S108" s="15"/>
      <c r="T108" s="15"/>
      <c r="U108" s="15"/>
      <c r="V108" s="15"/>
      <c r="W108" s="15"/>
      <c r="X108" s="15"/>
      <c r="Y108" s="15"/>
      <c r="Z108" s="15"/>
    </row>
    <row r="109" ht="66.0" customHeight="1">
      <c r="A109" s="37" t="str">
        <f t="shared" si="2"/>
        <v>ST_90</v>
      </c>
      <c r="B109" s="32"/>
      <c r="C109" s="32"/>
      <c r="D109" s="32"/>
      <c r="E109" s="32"/>
      <c r="F109" s="32"/>
      <c r="G109" s="56" t="s">
        <v>347</v>
      </c>
      <c r="H109" s="67" t="s">
        <v>348</v>
      </c>
      <c r="I109" s="62"/>
      <c r="J109" s="63"/>
      <c r="K109" s="63"/>
      <c r="L109" s="15"/>
      <c r="M109" s="15"/>
      <c r="N109" s="15"/>
      <c r="O109" s="15"/>
      <c r="P109" s="15"/>
      <c r="Q109" s="15"/>
      <c r="R109" s="15"/>
      <c r="S109" s="15"/>
      <c r="T109" s="15"/>
      <c r="U109" s="15"/>
      <c r="V109" s="15"/>
      <c r="W109" s="15"/>
      <c r="X109" s="15"/>
      <c r="Y109" s="15"/>
      <c r="Z109" s="15"/>
    </row>
    <row r="110" ht="409.5" customHeight="1">
      <c r="A110" s="37" t="str">
        <f t="shared" si="2"/>
        <v>ST_91</v>
      </c>
      <c r="B110" s="56" t="s">
        <v>35</v>
      </c>
      <c r="C110" s="79" t="s">
        <v>65</v>
      </c>
      <c r="D110" s="79" t="s">
        <v>349</v>
      </c>
      <c r="E110" s="79" t="s">
        <v>273</v>
      </c>
      <c r="F110" s="79" t="s">
        <v>350</v>
      </c>
      <c r="G110" s="56" t="s">
        <v>351</v>
      </c>
      <c r="H110" s="19" t="s">
        <v>352</v>
      </c>
      <c r="I110" s="62"/>
      <c r="J110" s="63"/>
      <c r="K110" s="63"/>
      <c r="L110" s="15"/>
      <c r="M110" s="15"/>
      <c r="N110" s="15"/>
      <c r="O110" s="15"/>
      <c r="P110" s="15"/>
      <c r="Q110" s="15"/>
      <c r="R110" s="15"/>
      <c r="S110" s="15"/>
      <c r="T110" s="15"/>
      <c r="U110" s="15"/>
      <c r="V110" s="15"/>
      <c r="W110" s="15"/>
      <c r="X110" s="15"/>
      <c r="Y110" s="15"/>
      <c r="Z110" s="15"/>
    </row>
    <row r="111" ht="59.25" customHeight="1">
      <c r="A111" s="37" t="str">
        <f t="shared" si="2"/>
        <v>ST_92</v>
      </c>
      <c r="B111" s="79" t="s">
        <v>35</v>
      </c>
      <c r="C111" s="79" t="s">
        <v>189</v>
      </c>
      <c r="D111" s="58" t="s">
        <v>353</v>
      </c>
      <c r="E111" s="79" t="s">
        <v>354</v>
      </c>
      <c r="F111" s="58" t="s">
        <v>355</v>
      </c>
      <c r="G111" s="56" t="s">
        <v>356</v>
      </c>
      <c r="H111" s="19" t="s">
        <v>357</v>
      </c>
      <c r="I111" s="62"/>
      <c r="J111" s="63"/>
      <c r="K111" s="63"/>
      <c r="L111" s="15"/>
      <c r="M111" s="15"/>
      <c r="N111" s="15"/>
      <c r="O111" s="15"/>
      <c r="P111" s="15"/>
      <c r="Q111" s="15"/>
      <c r="R111" s="15"/>
      <c r="S111" s="15"/>
      <c r="T111" s="15"/>
      <c r="U111" s="15"/>
      <c r="V111" s="15"/>
      <c r="W111" s="15"/>
      <c r="X111" s="15"/>
      <c r="Y111" s="15"/>
      <c r="Z111" s="15"/>
    </row>
    <row r="112" ht="12.75" customHeight="1">
      <c r="A112" s="37" t="str">
        <f t="shared" si="2"/>
        <v>ST_93</v>
      </c>
      <c r="B112" s="79" t="s">
        <v>35</v>
      </c>
      <c r="C112" s="79" t="s">
        <v>189</v>
      </c>
      <c r="D112" s="73"/>
      <c r="E112" s="79" t="s">
        <v>358</v>
      </c>
      <c r="F112" s="73"/>
      <c r="G112" s="56" t="s">
        <v>356</v>
      </c>
      <c r="H112" s="19" t="s">
        <v>359</v>
      </c>
      <c r="I112" s="62"/>
      <c r="J112" s="63"/>
      <c r="K112" s="63"/>
      <c r="L112" s="15"/>
      <c r="M112" s="15"/>
      <c r="N112" s="15"/>
      <c r="O112" s="15"/>
      <c r="P112" s="15"/>
      <c r="Q112" s="15"/>
      <c r="R112" s="15"/>
      <c r="S112" s="15"/>
      <c r="T112" s="15"/>
      <c r="U112" s="15"/>
      <c r="V112" s="15"/>
      <c r="W112" s="15"/>
      <c r="X112" s="15"/>
      <c r="Y112" s="15"/>
      <c r="Z112" s="15"/>
    </row>
    <row r="113" ht="12.75" customHeight="1">
      <c r="A113" s="37" t="str">
        <f t="shared" si="2"/>
        <v>ST_94</v>
      </c>
      <c r="B113" s="58" t="s">
        <v>35</v>
      </c>
      <c r="C113" s="58" t="s">
        <v>189</v>
      </c>
      <c r="D113" s="73"/>
      <c r="E113" s="68" t="s">
        <v>360</v>
      </c>
      <c r="F113" s="73"/>
      <c r="G113" s="58" t="s">
        <v>356</v>
      </c>
      <c r="H113" s="70" t="s">
        <v>359</v>
      </c>
      <c r="I113" s="81"/>
      <c r="J113" s="82"/>
      <c r="K113" s="82"/>
      <c r="L113" s="15"/>
      <c r="M113" s="15"/>
      <c r="N113" s="15"/>
      <c r="O113" s="15"/>
      <c r="P113" s="15"/>
      <c r="Q113" s="15"/>
      <c r="R113" s="15"/>
      <c r="S113" s="15"/>
      <c r="T113" s="15"/>
      <c r="U113" s="15"/>
      <c r="V113" s="15"/>
      <c r="W113" s="15"/>
      <c r="X113" s="15"/>
      <c r="Y113" s="15"/>
      <c r="Z113" s="15"/>
    </row>
    <row r="114" ht="12.75" customHeight="1">
      <c r="A114" s="37" t="str">
        <f t="shared" si="2"/>
        <v>ST_95</v>
      </c>
      <c r="B114" s="56" t="s">
        <v>35</v>
      </c>
      <c r="C114" s="56" t="s">
        <v>89</v>
      </c>
      <c r="D114" s="56" t="s">
        <v>361</v>
      </c>
      <c r="E114" s="56" t="s">
        <v>329</v>
      </c>
      <c r="F114" s="56" t="s">
        <v>362</v>
      </c>
      <c r="G114" s="56" t="s">
        <v>363</v>
      </c>
      <c r="H114" s="19" t="s">
        <v>364</v>
      </c>
      <c r="I114" s="62"/>
      <c r="J114" s="63"/>
      <c r="K114" s="63"/>
      <c r="L114" s="15"/>
      <c r="M114" s="15"/>
      <c r="N114" s="15"/>
      <c r="O114" s="15"/>
      <c r="P114" s="15"/>
      <c r="Q114" s="15"/>
      <c r="R114" s="15"/>
      <c r="S114" s="15"/>
      <c r="T114" s="15"/>
      <c r="U114" s="15"/>
      <c r="V114" s="15"/>
      <c r="W114" s="15"/>
      <c r="X114" s="15"/>
      <c r="Y114" s="15"/>
      <c r="Z114" s="15"/>
    </row>
    <row r="115" ht="12.75" customHeight="1">
      <c r="A115" s="37" t="str">
        <f t="shared" si="2"/>
        <v>ST_96</v>
      </c>
      <c r="B115" s="56" t="s">
        <v>35</v>
      </c>
      <c r="C115" s="56" t="s">
        <v>37</v>
      </c>
      <c r="D115" s="19" t="s">
        <v>365</v>
      </c>
      <c r="E115" s="56" t="s">
        <v>273</v>
      </c>
      <c r="F115" s="56" t="s">
        <v>366</v>
      </c>
      <c r="G115" s="56" t="s">
        <v>367</v>
      </c>
      <c r="H115" s="19" t="s">
        <v>368</v>
      </c>
      <c r="I115" s="62"/>
      <c r="J115" s="63"/>
      <c r="K115" s="63"/>
      <c r="L115" s="15"/>
      <c r="M115" s="15"/>
      <c r="N115" s="15"/>
      <c r="O115" s="15"/>
      <c r="P115" s="15"/>
      <c r="Q115" s="15"/>
      <c r="R115" s="15"/>
      <c r="S115" s="15"/>
      <c r="T115" s="15"/>
      <c r="U115" s="15"/>
      <c r="V115" s="15"/>
      <c r="W115" s="15"/>
      <c r="X115" s="15"/>
      <c r="Y115" s="15"/>
      <c r="Z115" s="15"/>
    </row>
    <row r="116" ht="37.5" customHeight="1">
      <c r="A116" s="37" t="str">
        <f t="shared" si="2"/>
        <v>ST_97</v>
      </c>
      <c r="B116" s="56" t="s">
        <v>35</v>
      </c>
      <c r="C116" s="56"/>
      <c r="D116" s="19"/>
      <c r="E116" s="56"/>
      <c r="F116" s="56"/>
      <c r="G116" s="56" t="s">
        <v>369</v>
      </c>
      <c r="H116" s="19" t="s">
        <v>370</v>
      </c>
      <c r="I116" s="62"/>
      <c r="J116" s="63"/>
      <c r="K116" s="63"/>
      <c r="L116" s="15"/>
      <c r="M116" s="15"/>
      <c r="N116" s="15"/>
      <c r="O116" s="15"/>
      <c r="P116" s="15"/>
      <c r="Q116" s="15"/>
      <c r="R116" s="15"/>
      <c r="S116" s="15"/>
      <c r="T116" s="15"/>
      <c r="U116" s="15"/>
      <c r="V116" s="15"/>
      <c r="W116" s="15"/>
      <c r="X116" s="15"/>
      <c r="Y116" s="15"/>
      <c r="Z116" s="15"/>
    </row>
    <row r="117" ht="68.25" customHeight="1">
      <c r="A117" s="37" t="str">
        <f t="shared" si="2"/>
        <v>ST_98</v>
      </c>
      <c r="B117" s="56" t="s">
        <v>35</v>
      </c>
      <c r="C117" s="56" t="s">
        <v>189</v>
      </c>
      <c r="D117" s="56" t="s">
        <v>353</v>
      </c>
      <c r="E117" s="56" t="s">
        <v>360</v>
      </c>
      <c r="F117" s="56" t="s">
        <v>371</v>
      </c>
      <c r="G117" s="56" t="s">
        <v>356</v>
      </c>
      <c r="H117" s="19" t="s">
        <v>372</v>
      </c>
      <c r="I117" s="62"/>
      <c r="J117" s="63"/>
      <c r="K117" s="63"/>
      <c r="L117" s="15"/>
      <c r="M117" s="15"/>
      <c r="N117" s="15"/>
      <c r="O117" s="15"/>
      <c r="P117" s="15"/>
      <c r="Q117" s="15"/>
      <c r="R117" s="15"/>
      <c r="S117" s="15"/>
      <c r="T117" s="15"/>
      <c r="U117" s="15"/>
      <c r="V117" s="15"/>
      <c r="W117" s="15"/>
      <c r="X117" s="15"/>
      <c r="Y117" s="15"/>
      <c r="Z117" s="15"/>
    </row>
    <row r="118" ht="12.75" customHeight="1">
      <c r="A118" s="37" t="str">
        <f t="shared" si="2"/>
        <v>ST_99</v>
      </c>
      <c r="B118" s="58" t="s">
        <v>35</v>
      </c>
      <c r="C118" s="58" t="s">
        <v>37</v>
      </c>
      <c r="D118" s="58" t="s">
        <v>373</v>
      </c>
      <c r="E118" s="58" t="s">
        <v>273</v>
      </c>
      <c r="F118" s="58" t="s">
        <v>374</v>
      </c>
      <c r="G118" s="56" t="s">
        <v>375</v>
      </c>
      <c r="H118" s="19" t="s">
        <v>376</v>
      </c>
      <c r="I118" s="62"/>
      <c r="J118" s="63"/>
      <c r="K118" s="63"/>
      <c r="L118" s="15"/>
      <c r="M118" s="15"/>
      <c r="N118" s="15"/>
      <c r="O118" s="15"/>
      <c r="P118" s="15"/>
      <c r="Q118" s="15"/>
      <c r="R118" s="15"/>
      <c r="S118" s="15"/>
      <c r="T118" s="15"/>
      <c r="U118" s="15"/>
      <c r="V118" s="15"/>
      <c r="W118" s="15"/>
      <c r="X118" s="15"/>
      <c r="Y118" s="15"/>
      <c r="Z118" s="15"/>
    </row>
    <row r="119" ht="12.75" customHeight="1">
      <c r="A119" s="37" t="str">
        <f t="shared" si="2"/>
        <v>ST_100</v>
      </c>
      <c r="B119" s="32"/>
      <c r="C119" s="32"/>
      <c r="D119" s="32"/>
      <c r="E119" s="32"/>
      <c r="F119" s="32"/>
      <c r="G119" s="56" t="s">
        <v>377</v>
      </c>
      <c r="H119" s="19" t="s">
        <v>378</v>
      </c>
      <c r="I119" s="62"/>
      <c r="J119" s="63"/>
      <c r="K119" s="63"/>
      <c r="L119" s="15"/>
      <c r="M119" s="15"/>
      <c r="N119" s="15"/>
      <c r="O119" s="15"/>
      <c r="P119" s="15"/>
      <c r="Q119" s="15"/>
      <c r="R119" s="15"/>
      <c r="S119" s="15"/>
      <c r="T119" s="15"/>
      <c r="U119" s="15"/>
      <c r="V119" s="15"/>
      <c r="W119" s="15"/>
      <c r="X119" s="15"/>
      <c r="Y119" s="15"/>
      <c r="Z119" s="15"/>
    </row>
    <row r="120" ht="12.75" customHeight="1">
      <c r="A120" s="37" t="str">
        <f t="shared" si="2"/>
        <v>ST_101</v>
      </c>
      <c r="B120" s="56" t="s">
        <v>35</v>
      </c>
      <c r="C120" s="56" t="s">
        <v>89</v>
      </c>
      <c r="D120" s="56"/>
      <c r="E120" s="56" t="s">
        <v>379</v>
      </c>
      <c r="F120" s="56"/>
      <c r="G120" s="56" t="s">
        <v>380</v>
      </c>
      <c r="H120" s="19" t="s">
        <v>381</v>
      </c>
      <c r="I120" s="62"/>
      <c r="J120" s="63"/>
      <c r="K120" s="63"/>
      <c r="L120" s="15"/>
      <c r="M120" s="15"/>
      <c r="N120" s="15"/>
      <c r="O120" s="15"/>
      <c r="P120" s="15"/>
      <c r="Q120" s="15"/>
      <c r="R120" s="15"/>
      <c r="S120" s="15"/>
      <c r="T120" s="15"/>
      <c r="U120" s="15"/>
      <c r="V120" s="15"/>
      <c r="W120" s="15"/>
      <c r="X120" s="15"/>
      <c r="Y120" s="15"/>
      <c r="Z120" s="15"/>
    </row>
    <row r="121" ht="12.75" customHeight="1">
      <c r="A121" s="37" t="str">
        <f t="shared" si="2"/>
        <v>ST_102</v>
      </c>
      <c r="B121" s="58" t="s">
        <v>35</v>
      </c>
      <c r="C121" s="56" t="s">
        <v>37</v>
      </c>
      <c r="D121" s="58" t="s">
        <v>382</v>
      </c>
      <c r="E121" s="56" t="s">
        <v>273</v>
      </c>
      <c r="F121" s="58" t="s">
        <v>383</v>
      </c>
      <c r="G121" s="56" t="s">
        <v>384</v>
      </c>
      <c r="H121" s="19" t="s">
        <v>385</v>
      </c>
      <c r="I121" s="62"/>
      <c r="J121" s="63"/>
      <c r="K121" s="63"/>
      <c r="L121" s="15"/>
      <c r="M121" s="15"/>
      <c r="N121" s="15"/>
      <c r="O121" s="15"/>
      <c r="P121" s="15"/>
      <c r="Q121" s="15"/>
      <c r="R121" s="15"/>
      <c r="S121" s="15"/>
      <c r="T121" s="15"/>
      <c r="U121" s="15"/>
      <c r="V121" s="15"/>
      <c r="W121" s="15"/>
      <c r="X121" s="15"/>
      <c r="Y121" s="15"/>
      <c r="Z121" s="15"/>
    </row>
    <row r="122" ht="56.25" customHeight="1">
      <c r="A122" s="37" t="str">
        <f t="shared" si="2"/>
        <v>ST_103</v>
      </c>
      <c r="B122" s="73"/>
      <c r="C122" s="56" t="s">
        <v>89</v>
      </c>
      <c r="D122" s="73"/>
      <c r="E122" s="56" t="s">
        <v>386</v>
      </c>
      <c r="F122" s="73"/>
      <c r="G122" s="56" t="s">
        <v>387</v>
      </c>
      <c r="H122" s="19" t="s">
        <v>388</v>
      </c>
      <c r="I122" s="62"/>
      <c r="J122" s="63"/>
      <c r="K122" s="63"/>
      <c r="L122" s="15"/>
      <c r="M122" s="15"/>
      <c r="N122" s="15"/>
      <c r="O122" s="15"/>
      <c r="P122" s="15"/>
      <c r="Q122" s="15"/>
      <c r="R122" s="15"/>
      <c r="S122" s="15"/>
      <c r="T122" s="15"/>
      <c r="U122" s="15"/>
      <c r="V122" s="15"/>
      <c r="W122" s="15"/>
      <c r="X122" s="15"/>
      <c r="Y122" s="15"/>
      <c r="Z122" s="15"/>
    </row>
    <row r="123" ht="60.75" customHeight="1">
      <c r="A123" s="37" t="str">
        <f t="shared" si="2"/>
        <v>ST_104</v>
      </c>
      <c r="B123" s="73"/>
      <c r="C123" s="58" t="s">
        <v>89</v>
      </c>
      <c r="D123" s="73"/>
      <c r="E123" s="58" t="s">
        <v>389</v>
      </c>
      <c r="F123" s="73"/>
      <c r="G123" s="56" t="s">
        <v>387</v>
      </c>
      <c r="H123" s="19" t="s">
        <v>390</v>
      </c>
      <c r="I123" s="62"/>
      <c r="J123" s="63"/>
      <c r="K123" s="63"/>
      <c r="L123" s="15"/>
      <c r="M123" s="15"/>
      <c r="N123" s="15"/>
      <c r="O123" s="15"/>
      <c r="P123" s="15"/>
      <c r="Q123" s="15"/>
      <c r="R123" s="15"/>
      <c r="S123" s="15"/>
      <c r="T123" s="15"/>
      <c r="U123" s="15"/>
      <c r="V123" s="15"/>
      <c r="W123" s="15"/>
      <c r="X123" s="15"/>
      <c r="Y123" s="15"/>
      <c r="Z123" s="15"/>
    </row>
    <row r="124" ht="12.75" customHeight="1">
      <c r="A124" s="37" t="str">
        <f t="shared" si="2"/>
        <v>ST_105</v>
      </c>
      <c r="B124" s="73"/>
      <c r="C124" s="32"/>
      <c r="D124" s="73"/>
      <c r="E124" s="32"/>
      <c r="F124" s="73"/>
      <c r="G124" s="56" t="s">
        <v>391</v>
      </c>
      <c r="H124" s="19" t="s">
        <v>392</v>
      </c>
      <c r="I124" s="62"/>
      <c r="J124" s="63"/>
      <c r="K124" s="63"/>
      <c r="L124" s="15"/>
      <c r="M124" s="15"/>
      <c r="N124" s="15"/>
      <c r="O124" s="15"/>
      <c r="P124" s="15"/>
      <c r="Q124" s="15"/>
      <c r="R124" s="15"/>
      <c r="S124" s="15"/>
      <c r="T124" s="15"/>
      <c r="U124" s="15"/>
      <c r="V124" s="15"/>
      <c r="W124" s="15"/>
      <c r="X124" s="15"/>
      <c r="Y124" s="15"/>
      <c r="Z124" s="15"/>
    </row>
    <row r="125" ht="61.5" customHeight="1">
      <c r="A125" s="37" t="str">
        <f t="shared" si="2"/>
        <v>ST_106</v>
      </c>
      <c r="B125" s="32"/>
      <c r="C125" s="56" t="s">
        <v>189</v>
      </c>
      <c r="D125" s="32"/>
      <c r="E125" s="56" t="s">
        <v>393</v>
      </c>
      <c r="F125" s="32"/>
      <c r="G125" s="56" t="s">
        <v>356</v>
      </c>
      <c r="H125" s="19" t="s">
        <v>394</v>
      </c>
      <c r="I125" s="62"/>
      <c r="J125" s="63"/>
      <c r="K125" s="63"/>
      <c r="L125" s="15"/>
      <c r="M125" s="15"/>
      <c r="N125" s="15"/>
      <c r="O125" s="15"/>
      <c r="P125" s="15"/>
      <c r="Q125" s="15"/>
      <c r="R125" s="15"/>
      <c r="S125" s="15"/>
      <c r="T125" s="15"/>
      <c r="U125" s="15"/>
      <c r="V125" s="15"/>
      <c r="W125" s="15"/>
      <c r="X125" s="15"/>
      <c r="Y125" s="15"/>
      <c r="Z125" s="15"/>
    </row>
    <row r="126" ht="409.5" customHeight="1">
      <c r="A126" s="37" t="str">
        <f t="shared" si="2"/>
        <v>ST_107</v>
      </c>
      <c r="B126" s="56" t="s">
        <v>35</v>
      </c>
      <c r="C126" s="56" t="s">
        <v>37</v>
      </c>
      <c r="D126" s="56" t="s">
        <v>395</v>
      </c>
      <c r="E126" s="56" t="s">
        <v>396</v>
      </c>
      <c r="F126" s="56" t="s">
        <v>397</v>
      </c>
      <c r="G126" s="56" t="s">
        <v>398</v>
      </c>
      <c r="H126" s="19" t="s">
        <v>399</v>
      </c>
      <c r="I126" s="62"/>
      <c r="J126" s="63"/>
      <c r="K126" s="63"/>
      <c r="L126" s="15"/>
      <c r="M126" s="15"/>
      <c r="N126" s="15"/>
      <c r="O126" s="15"/>
      <c r="P126" s="15"/>
      <c r="Q126" s="15"/>
      <c r="R126" s="15"/>
      <c r="S126" s="15"/>
      <c r="T126" s="15"/>
      <c r="U126" s="15"/>
      <c r="V126" s="15"/>
      <c r="W126" s="15"/>
      <c r="X126" s="15"/>
      <c r="Y126" s="15"/>
      <c r="Z126" s="15"/>
    </row>
    <row r="127" ht="244.5" customHeight="1">
      <c r="A127" s="37" t="str">
        <f t="shared" si="2"/>
        <v>ST_108</v>
      </c>
      <c r="B127" s="56" t="s">
        <v>35</v>
      </c>
      <c r="C127" s="56" t="s">
        <v>37</v>
      </c>
      <c r="D127" s="56" t="s">
        <v>400</v>
      </c>
      <c r="E127" s="56" t="s">
        <v>273</v>
      </c>
      <c r="F127" s="56" t="s">
        <v>401</v>
      </c>
      <c r="G127" s="56" t="s">
        <v>402</v>
      </c>
      <c r="H127" s="19" t="s">
        <v>403</v>
      </c>
      <c r="I127" s="62"/>
      <c r="J127" s="63"/>
      <c r="K127" s="63"/>
      <c r="L127" s="15"/>
      <c r="M127" s="15"/>
      <c r="N127" s="15"/>
      <c r="O127" s="15"/>
      <c r="P127" s="15"/>
      <c r="Q127" s="15"/>
      <c r="R127" s="15"/>
      <c r="S127" s="15"/>
      <c r="T127" s="15"/>
      <c r="U127" s="15"/>
      <c r="V127" s="15"/>
      <c r="W127" s="15"/>
      <c r="X127" s="15"/>
      <c r="Y127" s="15"/>
      <c r="Z127" s="15"/>
    </row>
    <row r="128" ht="17.25" customHeight="1">
      <c r="A128" s="37" t="str">
        <f t="shared" si="2"/>
        <v/>
      </c>
      <c r="B128" s="48" t="s">
        <v>404</v>
      </c>
      <c r="C128" s="49"/>
      <c r="D128" s="49"/>
      <c r="E128" s="49"/>
      <c r="F128" s="49"/>
      <c r="G128" s="50"/>
      <c r="H128" s="50"/>
      <c r="I128" s="50"/>
      <c r="J128" s="50"/>
      <c r="K128" s="52"/>
      <c r="L128" s="15"/>
      <c r="M128" s="15"/>
      <c r="N128" s="15"/>
      <c r="O128" s="15"/>
      <c r="P128" s="15"/>
      <c r="Q128" s="15"/>
      <c r="R128" s="15"/>
      <c r="S128" s="15"/>
      <c r="T128" s="15"/>
      <c r="U128" s="15"/>
      <c r="V128" s="15"/>
      <c r="W128" s="15"/>
      <c r="X128" s="15"/>
      <c r="Y128" s="15"/>
      <c r="Z128" s="15"/>
    </row>
    <row r="129" ht="320.25" customHeight="1">
      <c r="A129" s="37" t="str">
        <f t="shared" si="2"/>
        <v/>
      </c>
      <c r="B129" s="83" t="s">
        <v>405</v>
      </c>
      <c r="C129" s="41"/>
      <c r="D129" s="41"/>
      <c r="E129" s="41"/>
      <c r="F129" s="41"/>
      <c r="G129" s="41"/>
      <c r="H129" s="84"/>
      <c r="I129" s="62"/>
      <c r="J129" s="63"/>
      <c r="K129" s="63"/>
      <c r="L129" s="15"/>
      <c r="M129" s="15"/>
      <c r="N129" s="15"/>
      <c r="O129" s="15"/>
      <c r="P129" s="15"/>
      <c r="Q129" s="15"/>
      <c r="R129" s="15"/>
      <c r="S129" s="15"/>
      <c r="T129" s="15"/>
      <c r="U129" s="15"/>
      <c r="V129" s="15"/>
      <c r="W129" s="15"/>
      <c r="X129" s="15"/>
      <c r="Y129" s="15"/>
      <c r="Z129" s="15"/>
    </row>
    <row r="130" ht="12.75" customHeight="1">
      <c r="A130" s="37" t="str">
        <f t="shared" si="2"/>
        <v>ST_109</v>
      </c>
      <c r="B130" s="58" t="s">
        <v>35</v>
      </c>
      <c r="C130" s="58" t="s">
        <v>37</v>
      </c>
      <c r="D130" s="58" t="s">
        <v>404</v>
      </c>
      <c r="E130" s="58" t="s">
        <v>273</v>
      </c>
      <c r="F130" s="58" t="s">
        <v>406</v>
      </c>
      <c r="G130" s="56" t="s">
        <v>407</v>
      </c>
      <c r="H130" s="19" t="s">
        <v>408</v>
      </c>
      <c r="I130" s="62"/>
      <c r="J130" s="63"/>
      <c r="K130" s="63"/>
      <c r="L130" s="15"/>
      <c r="M130" s="15"/>
      <c r="N130" s="15"/>
      <c r="O130" s="15"/>
      <c r="P130" s="15"/>
      <c r="Q130" s="15"/>
      <c r="R130" s="15"/>
      <c r="S130" s="15"/>
      <c r="T130" s="15"/>
      <c r="U130" s="15"/>
      <c r="V130" s="15"/>
      <c r="W130" s="15"/>
      <c r="X130" s="15"/>
      <c r="Y130" s="15"/>
      <c r="Z130" s="15"/>
    </row>
    <row r="131" ht="12.75" customHeight="1">
      <c r="A131" s="37" t="str">
        <f t="shared" si="2"/>
        <v>ST_110</v>
      </c>
      <c r="B131" s="73"/>
      <c r="C131" s="73"/>
      <c r="D131" s="73"/>
      <c r="E131" s="73"/>
      <c r="F131" s="73"/>
      <c r="G131" s="56" t="s">
        <v>409</v>
      </c>
      <c r="H131" s="19" t="s">
        <v>410</v>
      </c>
      <c r="I131" s="62"/>
      <c r="J131" s="63"/>
      <c r="K131" s="63"/>
      <c r="L131" s="15"/>
      <c r="M131" s="15"/>
      <c r="N131" s="15"/>
      <c r="O131" s="15"/>
      <c r="P131" s="15"/>
      <c r="Q131" s="15"/>
      <c r="R131" s="15"/>
      <c r="S131" s="15"/>
      <c r="T131" s="15"/>
      <c r="U131" s="15"/>
      <c r="V131" s="15"/>
      <c r="W131" s="15"/>
      <c r="X131" s="15"/>
      <c r="Y131" s="15"/>
      <c r="Z131" s="15"/>
    </row>
    <row r="132" ht="12.75" customHeight="1">
      <c r="A132" s="37" t="str">
        <f t="shared" si="2"/>
        <v>ST_111</v>
      </c>
      <c r="B132" s="73"/>
      <c r="C132" s="73"/>
      <c r="D132" s="73"/>
      <c r="E132" s="73"/>
      <c r="F132" s="73"/>
      <c r="G132" s="56" t="s">
        <v>411</v>
      </c>
      <c r="H132" s="19" t="s">
        <v>412</v>
      </c>
      <c r="I132" s="62"/>
      <c r="J132" s="63"/>
      <c r="K132" s="63"/>
      <c r="L132" s="15"/>
      <c r="M132" s="15"/>
      <c r="N132" s="15"/>
      <c r="O132" s="15"/>
      <c r="P132" s="15"/>
      <c r="Q132" s="15"/>
      <c r="R132" s="15"/>
      <c r="S132" s="15"/>
      <c r="T132" s="15"/>
      <c r="U132" s="15"/>
      <c r="V132" s="15"/>
      <c r="W132" s="15"/>
      <c r="X132" s="15"/>
      <c r="Y132" s="15"/>
      <c r="Z132" s="15"/>
    </row>
    <row r="133" ht="12.75" customHeight="1">
      <c r="A133" s="37" t="str">
        <f t="shared" si="2"/>
        <v>ST_112</v>
      </c>
      <c r="B133" s="73"/>
      <c r="C133" s="73"/>
      <c r="D133" s="73"/>
      <c r="E133" s="73"/>
      <c r="F133" s="73"/>
      <c r="G133" s="56" t="s">
        <v>413</v>
      </c>
      <c r="H133" s="19" t="s">
        <v>414</v>
      </c>
      <c r="I133" s="62"/>
      <c r="J133" s="63"/>
      <c r="K133" s="63"/>
      <c r="L133" s="15"/>
      <c r="M133" s="15"/>
      <c r="N133" s="15"/>
      <c r="O133" s="15"/>
      <c r="P133" s="15"/>
      <c r="Q133" s="15"/>
      <c r="R133" s="15"/>
      <c r="S133" s="15"/>
      <c r="T133" s="15"/>
      <c r="U133" s="15"/>
      <c r="V133" s="15"/>
      <c r="W133" s="15"/>
      <c r="X133" s="15"/>
      <c r="Y133" s="15"/>
      <c r="Z133" s="15"/>
    </row>
    <row r="134" ht="12.75" customHeight="1">
      <c r="A134" s="37" t="str">
        <f t="shared" si="2"/>
        <v>ST_113</v>
      </c>
      <c r="B134" s="32"/>
      <c r="C134" s="32"/>
      <c r="D134" s="32"/>
      <c r="E134" s="32"/>
      <c r="F134" s="32"/>
      <c r="G134" s="56" t="s">
        <v>415</v>
      </c>
      <c r="H134" s="19" t="s">
        <v>416</v>
      </c>
      <c r="I134" s="62"/>
      <c r="J134" s="63"/>
      <c r="K134" s="63"/>
      <c r="L134" s="15"/>
      <c r="M134" s="15"/>
      <c r="N134" s="15"/>
      <c r="O134" s="15"/>
      <c r="P134" s="15"/>
      <c r="Q134" s="15"/>
      <c r="R134" s="15"/>
      <c r="S134" s="15"/>
      <c r="T134" s="15"/>
      <c r="U134" s="15"/>
      <c r="V134" s="15"/>
      <c r="W134" s="15"/>
      <c r="X134" s="15"/>
      <c r="Y134" s="15"/>
      <c r="Z134" s="15"/>
    </row>
    <row r="135" ht="12.75" customHeight="1">
      <c r="A135" s="37" t="str">
        <f t="shared" si="2"/>
        <v>ST_114</v>
      </c>
      <c r="B135" s="58" t="s">
        <v>35</v>
      </c>
      <c r="C135" s="58" t="s">
        <v>37</v>
      </c>
      <c r="D135" s="58" t="s">
        <v>417</v>
      </c>
      <c r="E135" s="58"/>
      <c r="F135" s="58" t="s">
        <v>418</v>
      </c>
      <c r="G135" s="56" t="s">
        <v>419</v>
      </c>
      <c r="H135" s="19" t="s">
        <v>420</v>
      </c>
      <c r="I135" s="62"/>
      <c r="J135" s="63"/>
      <c r="K135" s="63"/>
      <c r="L135" s="15"/>
      <c r="M135" s="15"/>
      <c r="N135" s="15"/>
      <c r="O135" s="15"/>
      <c r="P135" s="15"/>
      <c r="Q135" s="15"/>
      <c r="R135" s="15"/>
      <c r="S135" s="15"/>
      <c r="T135" s="15"/>
      <c r="U135" s="15"/>
      <c r="V135" s="15"/>
      <c r="W135" s="15"/>
      <c r="X135" s="15"/>
      <c r="Y135" s="15"/>
      <c r="Z135" s="15"/>
    </row>
    <row r="136" ht="12.75" customHeight="1">
      <c r="A136" s="37" t="str">
        <f t="shared" si="2"/>
        <v>ST_115</v>
      </c>
      <c r="B136" s="73"/>
      <c r="C136" s="73"/>
      <c r="D136" s="73"/>
      <c r="E136" s="32"/>
      <c r="F136" s="73"/>
      <c r="G136" s="56" t="s">
        <v>421</v>
      </c>
      <c r="H136" s="19" t="s">
        <v>422</v>
      </c>
      <c r="I136" s="62"/>
      <c r="J136" s="63"/>
      <c r="K136" s="63"/>
      <c r="L136" s="15"/>
      <c r="M136" s="15"/>
      <c r="N136" s="15"/>
      <c r="O136" s="15"/>
      <c r="P136" s="15"/>
      <c r="Q136" s="15"/>
      <c r="R136" s="15"/>
      <c r="S136" s="15"/>
      <c r="T136" s="15"/>
      <c r="U136" s="15"/>
      <c r="V136" s="15"/>
      <c r="W136" s="15"/>
      <c r="X136" s="15"/>
      <c r="Y136" s="15"/>
      <c r="Z136" s="15"/>
    </row>
    <row r="137" ht="12.75" customHeight="1">
      <c r="A137" s="37" t="str">
        <f t="shared" si="2"/>
        <v>ST_116</v>
      </c>
      <c r="B137" s="73"/>
      <c r="C137" s="73"/>
      <c r="D137" s="73"/>
      <c r="E137" s="79"/>
      <c r="F137" s="73"/>
      <c r="G137" s="56" t="s">
        <v>423</v>
      </c>
      <c r="H137" s="19" t="s">
        <v>424</v>
      </c>
      <c r="I137" s="62"/>
      <c r="J137" s="63"/>
      <c r="K137" s="63"/>
      <c r="L137" s="15"/>
      <c r="M137" s="15"/>
      <c r="N137" s="15"/>
      <c r="O137" s="15"/>
      <c r="P137" s="15"/>
      <c r="Q137" s="15"/>
      <c r="R137" s="15"/>
      <c r="S137" s="15"/>
      <c r="T137" s="15"/>
      <c r="U137" s="15"/>
      <c r="V137" s="15"/>
      <c r="W137" s="15"/>
      <c r="X137" s="15"/>
      <c r="Y137" s="15"/>
      <c r="Z137" s="15"/>
    </row>
    <row r="138" ht="12.75" customHeight="1">
      <c r="A138" s="37" t="str">
        <f t="shared" si="2"/>
        <v>ST_117</v>
      </c>
      <c r="B138" s="32"/>
      <c r="C138" s="32"/>
      <c r="D138" s="32"/>
      <c r="E138" s="79"/>
      <c r="F138" s="32"/>
      <c r="G138" s="56" t="s">
        <v>425</v>
      </c>
      <c r="H138" s="85" t="s">
        <v>426</v>
      </c>
      <c r="I138" s="62"/>
      <c r="J138" s="63"/>
      <c r="K138" s="63"/>
      <c r="L138" s="15"/>
      <c r="M138" s="15"/>
      <c r="N138" s="15"/>
      <c r="O138" s="15"/>
      <c r="P138" s="15"/>
      <c r="Q138" s="15"/>
      <c r="R138" s="15"/>
      <c r="S138" s="15"/>
      <c r="T138" s="15"/>
      <c r="U138" s="15"/>
      <c r="V138" s="15"/>
      <c r="W138" s="15"/>
      <c r="X138" s="15"/>
      <c r="Y138" s="15"/>
      <c r="Z138" s="15"/>
    </row>
    <row r="139" ht="12.75" customHeight="1">
      <c r="A139" s="37" t="str">
        <f t="shared" si="2"/>
        <v>ST_118</v>
      </c>
      <c r="B139" s="79" t="s">
        <v>35</v>
      </c>
      <c r="C139" s="56" t="s">
        <v>189</v>
      </c>
      <c r="D139" s="79" t="s">
        <v>427</v>
      </c>
      <c r="E139" s="79" t="s">
        <v>428</v>
      </c>
      <c r="F139" s="79" t="s">
        <v>429</v>
      </c>
      <c r="G139" s="56" t="s">
        <v>430</v>
      </c>
      <c r="H139" s="19" t="s">
        <v>431</v>
      </c>
      <c r="I139" s="62"/>
      <c r="J139" s="63"/>
      <c r="K139" s="63"/>
      <c r="L139" s="15"/>
      <c r="M139" s="15"/>
      <c r="N139" s="15"/>
      <c r="O139" s="15"/>
      <c r="P139" s="15"/>
      <c r="Q139" s="15"/>
      <c r="R139" s="15"/>
      <c r="S139" s="15"/>
      <c r="T139" s="15"/>
      <c r="U139" s="15"/>
      <c r="V139" s="15"/>
      <c r="W139" s="15"/>
      <c r="X139" s="15"/>
      <c r="Y139" s="15"/>
      <c r="Z139" s="15"/>
    </row>
    <row r="140" ht="17.25" customHeight="1">
      <c r="A140" s="37" t="str">
        <f t="shared" si="2"/>
        <v/>
      </c>
      <c r="B140" s="48" t="s">
        <v>432</v>
      </c>
      <c r="C140" s="49"/>
      <c r="D140" s="49"/>
      <c r="E140" s="49"/>
      <c r="F140" s="49"/>
      <c r="G140" s="50"/>
      <c r="H140" s="50"/>
      <c r="I140" s="50"/>
      <c r="J140" s="50"/>
      <c r="K140" s="52"/>
      <c r="L140" s="15"/>
      <c r="M140" s="15"/>
      <c r="N140" s="15"/>
      <c r="O140" s="15"/>
      <c r="P140" s="15"/>
      <c r="Q140" s="15"/>
      <c r="R140" s="15"/>
      <c r="S140" s="15"/>
      <c r="T140" s="15"/>
      <c r="U140" s="15"/>
      <c r="V140" s="15"/>
      <c r="W140" s="15"/>
      <c r="X140" s="15"/>
      <c r="Y140" s="15"/>
      <c r="Z140" s="15"/>
    </row>
    <row r="141" ht="141.0" customHeight="1">
      <c r="A141" s="37" t="str">
        <f t="shared" si="2"/>
        <v/>
      </c>
      <c r="B141" s="83" t="s">
        <v>433</v>
      </c>
      <c r="C141" s="41"/>
      <c r="D141" s="41"/>
      <c r="E141" s="41"/>
      <c r="F141" s="41"/>
      <c r="G141" s="41"/>
      <c r="H141" s="84"/>
      <c r="I141" s="62"/>
      <c r="J141" s="63"/>
      <c r="K141" s="63"/>
      <c r="L141" s="15"/>
      <c r="M141" s="15"/>
      <c r="N141" s="15"/>
      <c r="O141" s="15"/>
      <c r="P141" s="15"/>
      <c r="Q141" s="15"/>
      <c r="R141" s="15"/>
      <c r="S141" s="15"/>
      <c r="T141" s="15"/>
      <c r="U141" s="15"/>
      <c r="V141" s="15"/>
      <c r="W141" s="15"/>
      <c r="X141" s="15"/>
      <c r="Y141" s="15"/>
      <c r="Z141" s="15"/>
    </row>
    <row r="142" ht="12.75" customHeight="1">
      <c r="A142" s="37" t="str">
        <f t="shared" si="2"/>
        <v>ST_119</v>
      </c>
      <c r="B142" s="58" t="s">
        <v>35</v>
      </c>
      <c r="C142" s="58" t="s">
        <v>37</v>
      </c>
      <c r="D142" s="58" t="s">
        <v>432</v>
      </c>
      <c r="E142" s="58" t="s">
        <v>273</v>
      </c>
      <c r="F142" s="58" t="s">
        <v>434</v>
      </c>
      <c r="G142" s="56" t="s">
        <v>435</v>
      </c>
      <c r="H142" s="19" t="s">
        <v>408</v>
      </c>
      <c r="I142" s="62"/>
      <c r="J142" s="63"/>
      <c r="K142" s="63"/>
      <c r="L142" s="15"/>
      <c r="M142" s="15"/>
      <c r="N142" s="15"/>
      <c r="O142" s="15"/>
      <c r="P142" s="15"/>
      <c r="Q142" s="15"/>
      <c r="R142" s="15"/>
      <c r="S142" s="15"/>
      <c r="T142" s="15"/>
      <c r="U142" s="15"/>
      <c r="V142" s="15"/>
      <c r="W142" s="15"/>
      <c r="X142" s="15"/>
      <c r="Y142" s="15"/>
      <c r="Z142" s="15"/>
    </row>
    <row r="143" ht="12.75" customHeight="1">
      <c r="A143" s="37" t="str">
        <f t="shared" si="2"/>
        <v>ST_120</v>
      </c>
      <c r="B143" s="73"/>
      <c r="C143" s="73"/>
      <c r="D143" s="73"/>
      <c r="E143" s="73"/>
      <c r="F143" s="73"/>
      <c r="G143" s="56" t="s">
        <v>436</v>
      </c>
      <c r="H143" s="19" t="s">
        <v>437</v>
      </c>
      <c r="I143" s="62"/>
      <c r="J143" s="63"/>
      <c r="K143" s="63"/>
      <c r="L143" s="15"/>
      <c r="M143" s="15"/>
      <c r="N143" s="15"/>
      <c r="O143" s="15"/>
      <c r="P143" s="15"/>
      <c r="Q143" s="15"/>
      <c r="R143" s="15"/>
      <c r="S143" s="15"/>
      <c r="T143" s="15"/>
      <c r="U143" s="15"/>
      <c r="V143" s="15"/>
      <c r="W143" s="15"/>
      <c r="X143" s="15"/>
      <c r="Y143" s="15"/>
      <c r="Z143" s="15"/>
    </row>
    <row r="144" ht="45.75" customHeight="1">
      <c r="A144" s="37" t="str">
        <f t="shared" si="2"/>
        <v>ST_121</v>
      </c>
      <c r="B144" s="73"/>
      <c r="C144" s="73"/>
      <c r="D144" s="73"/>
      <c r="E144" s="73"/>
      <c r="F144" s="73"/>
      <c r="G144" s="56" t="s">
        <v>438</v>
      </c>
      <c r="H144" s="19" t="s">
        <v>439</v>
      </c>
      <c r="I144" s="62"/>
      <c r="J144" s="63"/>
      <c r="K144" s="63"/>
      <c r="L144" s="15"/>
      <c r="M144" s="15"/>
      <c r="N144" s="15"/>
      <c r="O144" s="15"/>
      <c r="P144" s="15"/>
      <c r="Q144" s="15"/>
      <c r="R144" s="15"/>
      <c r="S144" s="15"/>
      <c r="T144" s="15"/>
      <c r="U144" s="15"/>
      <c r="V144" s="15"/>
      <c r="W144" s="15"/>
      <c r="X144" s="15"/>
      <c r="Y144" s="15"/>
      <c r="Z144" s="15"/>
    </row>
    <row r="145" ht="12.75" customHeight="1">
      <c r="A145" s="37" t="str">
        <f t="shared" si="2"/>
        <v>ST_122</v>
      </c>
      <c r="B145" s="73"/>
      <c r="C145" s="73"/>
      <c r="D145" s="73"/>
      <c r="E145" s="73"/>
      <c r="F145" s="73"/>
      <c r="G145" s="56" t="s">
        <v>440</v>
      </c>
      <c r="H145" s="19" t="s">
        <v>441</v>
      </c>
      <c r="I145" s="62"/>
      <c r="J145" s="63"/>
      <c r="K145" s="63"/>
      <c r="L145" s="15"/>
      <c r="M145" s="15"/>
      <c r="N145" s="15"/>
      <c r="O145" s="15"/>
      <c r="P145" s="15"/>
      <c r="Q145" s="15"/>
      <c r="R145" s="15"/>
      <c r="S145" s="15"/>
      <c r="T145" s="15"/>
      <c r="U145" s="15"/>
      <c r="V145" s="15"/>
      <c r="W145" s="15"/>
      <c r="X145" s="15"/>
      <c r="Y145" s="15"/>
      <c r="Z145" s="15"/>
    </row>
    <row r="146" ht="12.75" customHeight="1">
      <c r="A146" s="37" t="str">
        <f t="shared" si="2"/>
        <v>ST_123</v>
      </c>
      <c r="B146" s="32"/>
      <c r="C146" s="32"/>
      <c r="D146" s="32"/>
      <c r="E146" s="32"/>
      <c r="F146" s="32"/>
      <c r="G146" s="56" t="s">
        <v>415</v>
      </c>
      <c r="H146" s="19" t="s">
        <v>442</v>
      </c>
      <c r="I146" s="62"/>
      <c r="J146" s="63"/>
      <c r="K146" s="63"/>
      <c r="L146" s="15"/>
      <c r="M146" s="15"/>
      <c r="N146" s="15"/>
      <c r="O146" s="15"/>
      <c r="P146" s="15"/>
      <c r="Q146" s="15"/>
      <c r="R146" s="15"/>
      <c r="S146" s="15"/>
      <c r="T146" s="15"/>
      <c r="U146" s="15"/>
      <c r="V146" s="15"/>
      <c r="W146" s="15"/>
      <c r="X146" s="15"/>
      <c r="Y146" s="15"/>
      <c r="Z146" s="15"/>
    </row>
    <row r="147" ht="12.75" customHeight="1">
      <c r="A147" s="37" t="str">
        <f t="shared" si="2"/>
        <v>ST_124</v>
      </c>
      <c r="B147" s="58" t="s">
        <v>35</v>
      </c>
      <c r="C147" s="58" t="s">
        <v>37</v>
      </c>
      <c r="D147" s="58" t="s">
        <v>443</v>
      </c>
      <c r="E147" s="58"/>
      <c r="F147" s="58" t="s">
        <v>418</v>
      </c>
      <c r="G147" s="56" t="s">
        <v>444</v>
      </c>
      <c r="H147" s="19" t="s">
        <v>445</v>
      </c>
      <c r="I147" s="62"/>
      <c r="J147" s="63"/>
      <c r="K147" s="63"/>
      <c r="L147" s="15"/>
      <c r="M147" s="15"/>
      <c r="N147" s="15"/>
      <c r="O147" s="15"/>
      <c r="P147" s="15"/>
      <c r="Q147" s="15"/>
      <c r="R147" s="15"/>
      <c r="S147" s="15"/>
      <c r="T147" s="15"/>
      <c r="U147" s="15"/>
      <c r="V147" s="15"/>
      <c r="W147" s="15"/>
      <c r="X147" s="15"/>
      <c r="Y147" s="15"/>
      <c r="Z147" s="15"/>
    </row>
    <row r="148" ht="12.75" customHeight="1">
      <c r="A148" s="37" t="str">
        <f t="shared" si="2"/>
        <v>ST_125</v>
      </c>
      <c r="B148" s="73"/>
      <c r="C148" s="73"/>
      <c r="D148" s="73"/>
      <c r="E148" s="32"/>
      <c r="F148" s="73"/>
      <c r="G148" s="56" t="s">
        <v>446</v>
      </c>
      <c r="H148" s="19" t="s">
        <v>447</v>
      </c>
      <c r="I148" s="62"/>
      <c r="J148" s="63"/>
      <c r="K148" s="63"/>
      <c r="L148" s="15"/>
      <c r="M148" s="15"/>
      <c r="N148" s="15"/>
      <c r="O148" s="15"/>
      <c r="P148" s="15"/>
      <c r="Q148" s="15"/>
      <c r="R148" s="15"/>
      <c r="S148" s="15"/>
      <c r="T148" s="15"/>
      <c r="U148" s="15"/>
      <c r="V148" s="15"/>
      <c r="W148" s="15"/>
      <c r="X148" s="15"/>
      <c r="Y148" s="15"/>
      <c r="Z148" s="15"/>
    </row>
    <row r="149" ht="12.75" customHeight="1">
      <c r="A149" s="37" t="str">
        <f t="shared" si="2"/>
        <v>ST_126</v>
      </c>
      <c r="B149" s="73"/>
      <c r="C149" s="73"/>
      <c r="D149" s="73"/>
      <c r="E149" s="79"/>
      <c r="F149" s="73"/>
      <c r="G149" s="56" t="s">
        <v>448</v>
      </c>
      <c r="H149" s="19" t="s">
        <v>449</v>
      </c>
      <c r="I149" s="62"/>
      <c r="J149" s="63"/>
      <c r="K149" s="63"/>
      <c r="L149" s="15"/>
      <c r="M149" s="15"/>
      <c r="N149" s="15"/>
      <c r="O149" s="15"/>
      <c r="P149" s="15"/>
      <c r="Q149" s="15"/>
      <c r="R149" s="15"/>
      <c r="S149" s="15"/>
      <c r="T149" s="15"/>
      <c r="U149" s="15"/>
      <c r="V149" s="15"/>
      <c r="W149" s="15"/>
      <c r="X149" s="15"/>
      <c r="Y149" s="15"/>
      <c r="Z149" s="15"/>
    </row>
    <row r="150" ht="12.75" customHeight="1">
      <c r="A150" s="37" t="str">
        <f t="shared" si="2"/>
        <v>ST_127</v>
      </c>
      <c r="B150" s="32"/>
      <c r="C150" s="32"/>
      <c r="D150" s="32"/>
      <c r="E150" s="79"/>
      <c r="F150" s="32"/>
      <c r="G150" s="56" t="s">
        <v>450</v>
      </c>
      <c r="H150" s="85" t="s">
        <v>451</v>
      </c>
      <c r="I150" s="62"/>
      <c r="J150" s="63"/>
      <c r="K150" s="63"/>
      <c r="L150" s="15"/>
      <c r="M150" s="15"/>
      <c r="N150" s="15"/>
      <c r="O150" s="15"/>
      <c r="P150" s="15"/>
      <c r="Q150" s="15"/>
      <c r="R150" s="15"/>
      <c r="S150" s="15"/>
      <c r="T150" s="15"/>
      <c r="U150" s="15"/>
      <c r="V150" s="15"/>
      <c r="W150" s="15"/>
      <c r="X150" s="15"/>
      <c r="Y150" s="15"/>
      <c r="Z150" s="15"/>
    </row>
    <row r="151" ht="12.75" customHeight="1">
      <c r="A151" s="37" t="str">
        <f t="shared" si="2"/>
        <v>ST_128</v>
      </c>
      <c r="B151" s="79" t="s">
        <v>35</v>
      </c>
      <c r="C151" s="56" t="s">
        <v>189</v>
      </c>
      <c r="D151" s="79" t="s">
        <v>452</v>
      </c>
      <c r="E151" s="79" t="s">
        <v>428</v>
      </c>
      <c r="F151" s="79" t="s">
        <v>453</v>
      </c>
      <c r="G151" s="56" t="s">
        <v>454</v>
      </c>
      <c r="H151" s="19" t="s">
        <v>455</v>
      </c>
      <c r="I151" s="62"/>
      <c r="J151" s="63"/>
      <c r="K151" s="63"/>
      <c r="L151" s="15"/>
      <c r="M151" s="15"/>
      <c r="N151" s="15"/>
      <c r="O151" s="15"/>
      <c r="P151" s="15"/>
      <c r="Q151" s="15"/>
      <c r="R151" s="15"/>
      <c r="S151" s="15"/>
      <c r="T151" s="15"/>
      <c r="U151" s="15"/>
      <c r="V151" s="15"/>
      <c r="W151" s="15"/>
      <c r="X151" s="15"/>
      <c r="Y151" s="15"/>
      <c r="Z151" s="15"/>
    </row>
    <row r="152" ht="12.75" customHeight="1">
      <c r="A152" s="37" t="str">
        <f t="shared" si="2"/>
        <v>ST_129</v>
      </c>
      <c r="B152" s="56"/>
      <c r="C152" s="56"/>
      <c r="D152" s="56"/>
      <c r="E152" s="56"/>
      <c r="F152" s="56"/>
      <c r="G152" s="56" t="s">
        <v>456</v>
      </c>
      <c r="H152" s="19" t="s">
        <v>408</v>
      </c>
      <c r="I152" s="62"/>
      <c r="J152" s="63"/>
      <c r="K152" s="63"/>
      <c r="L152" s="15"/>
      <c r="M152" s="15"/>
      <c r="N152" s="15"/>
      <c r="O152" s="15"/>
      <c r="P152" s="15"/>
      <c r="Q152" s="15"/>
      <c r="R152" s="15"/>
      <c r="S152" s="15"/>
      <c r="T152" s="15"/>
      <c r="U152" s="15"/>
      <c r="V152" s="15"/>
      <c r="W152" s="15"/>
      <c r="X152" s="15"/>
      <c r="Y152" s="15"/>
      <c r="Z152" s="15"/>
    </row>
    <row r="153" ht="12.75" customHeight="1">
      <c r="A153" s="37" t="str">
        <f t="shared" si="2"/>
        <v>ST_130</v>
      </c>
      <c r="B153" s="56"/>
      <c r="C153" s="56"/>
      <c r="D153" s="56"/>
      <c r="E153" s="56"/>
      <c r="F153" s="56"/>
      <c r="G153" s="56" t="s">
        <v>409</v>
      </c>
      <c r="H153" s="19" t="s">
        <v>457</v>
      </c>
      <c r="I153" s="62"/>
      <c r="J153" s="63"/>
      <c r="K153" s="63"/>
      <c r="L153" s="15"/>
      <c r="M153" s="15"/>
      <c r="N153" s="15"/>
      <c r="O153" s="15"/>
      <c r="P153" s="15"/>
      <c r="Q153" s="15"/>
      <c r="R153" s="15"/>
      <c r="S153" s="15"/>
      <c r="T153" s="15"/>
      <c r="U153" s="15"/>
      <c r="V153" s="15"/>
      <c r="W153" s="15"/>
      <c r="X153" s="15"/>
      <c r="Y153" s="15"/>
      <c r="Z153" s="15"/>
    </row>
    <row r="154" ht="17.25" customHeight="1">
      <c r="A154" s="37" t="str">
        <f t="shared" si="2"/>
        <v/>
      </c>
      <c r="B154" s="48" t="s">
        <v>458</v>
      </c>
      <c r="C154" s="49"/>
      <c r="D154" s="49"/>
      <c r="E154" s="49"/>
      <c r="F154" s="49"/>
      <c r="G154" s="50"/>
      <c r="H154" s="50"/>
      <c r="I154" s="50"/>
      <c r="J154" s="50"/>
      <c r="K154" s="52"/>
      <c r="L154" s="15"/>
      <c r="M154" s="15"/>
      <c r="N154" s="15"/>
      <c r="O154" s="15"/>
      <c r="P154" s="15"/>
      <c r="Q154" s="15"/>
      <c r="R154" s="15"/>
      <c r="S154" s="15"/>
      <c r="T154" s="15"/>
      <c r="U154" s="15"/>
      <c r="V154" s="15"/>
      <c r="W154" s="15"/>
      <c r="X154" s="15"/>
      <c r="Y154" s="15"/>
      <c r="Z154" s="15"/>
    </row>
    <row r="155" ht="243.75" customHeight="1">
      <c r="A155" s="37" t="str">
        <f t="shared" si="2"/>
        <v/>
      </c>
      <c r="B155" s="83" t="s">
        <v>459</v>
      </c>
      <c r="C155" s="41"/>
      <c r="D155" s="41"/>
      <c r="E155" s="41"/>
      <c r="F155" s="41"/>
      <c r="G155" s="41"/>
      <c r="H155" s="84"/>
      <c r="I155" s="62"/>
      <c r="J155" s="63"/>
      <c r="K155" s="63"/>
      <c r="L155" s="15"/>
      <c r="M155" s="15"/>
      <c r="N155" s="15"/>
      <c r="O155" s="15"/>
      <c r="P155" s="15"/>
      <c r="Q155" s="15"/>
      <c r="R155" s="15"/>
      <c r="S155" s="15"/>
      <c r="T155" s="15"/>
      <c r="U155" s="15"/>
      <c r="V155" s="15"/>
      <c r="W155" s="15"/>
      <c r="X155" s="15"/>
      <c r="Y155" s="15"/>
      <c r="Z155" s="15"/>
    </row>
    <row r="156" ht="12.75" customHeight="1">
      <c r="A156" s="37" t="str">
        <f t="shared" si="2"/>
        <v>ST_131</v>
      </c>
      <c r="B156" s="58" t="s">
        <v>35</v>
      </c>
      <c r="C156" s="69" t="s">
        <v>37</v>
      </c>
      <c r="D156" s="58" t="s">
        <v>460</v>
      </c>
      <c r="E156" s="58" t="s">
        <v>461</v>
      </c>
      <c r="F156" s="58" t="s">
        <v>462</v>
      </c>
      <c r="G156" s="56" t="s">
        <v>463</v>
      </c>
      <c r="H156" s="56" t="s">
        <v>464</v>
      </c>
      <c r="I156" s="62"/>
      <c r="J156" s="63"/>
      <c r="K156" s="63"/>
      <c r="L156" s="15"/>
      <c r="M156" s="15"/>
      <c r="N156" s="15"/>
      <c r="O156" s="15"/>
      <c r="P156" s="15"/>
      <c r="Q156" s="15"/>
      <c r="R156" s="15"/>
      <c r="S156" s="15"/>
      <c r="T156" s="15"/>
      <c r="U156" s="15"/>
      <c r="V156" s="15"/>
      <c r="W156" s="15"/>
      <c r="X156" s="15"/>
      <c r="Y156" s="15"/>
      <c r="Z156" s="15"/>
    </row>
    <row r="157" ht="12.75" customHeight="1">
      <c r="A157" s="37" t="str">
        <f t="shared" si="2"/>
        <v>ST_132</v>
      </c>
      <c r="B157" s="32"/>
      <c r="C157" s="32"/>
      <c r="D157" s="32"/>
      <c r="E157" s="32"/>
      <c r="F157" s="32"/>
      <c r="G157" s="56" t="s">
        <v>465</v>
      </c>
      <c r="H157" s="56" t="s">
        <v>466</v>
      </c>
      <c r="I157" s="62"/>
      <c r="J157" s="63"/>
      <c r="K157" s="63"/>
      <c r="L157" s="15"/>
      <c r="M157" s="15"/>
      <c r="N157" s="15"/>
      <c r="O157" s="15"/>
      <c r="P157" s="15"/>
      <c r="Q157" s="15"/>
      <c r="R157" s="15"/>
      <c r="S157" s="15"/>
      <c r="T157" s="15"/>
      <c r="U157" s="15"/>
      <c r="V157" s="15"/>
      <c r="W157" s="15"/>
      <c r="X157" s="15"/>
      <c r="Y157" s="15"/>
      <c r="Z157" s="15"/>
    </row>
    <row r="158" ht="63.0" customHeight="1">
      <c r="A158" s="37" t="str">
        <f t="shared" si="2"/>
        <v>ST_133</v>
      </c>
      <c r="B158" s="79" t="s">
        <v>35</v>
      </c>
      <c r="C158" s="72" t="s">
        <v>37</v>
      </c>
      <c r="D158" s="79" t="s">
        <v>467</v>
      </c>
      <c r="E158" s="79" t="s">
        <v>461</v>
      </c>
      <c r="F158" s="79" t="s">
        <v>468</v>
      </c>
      <c r="G158" s="56" t="s">
        <v>469</v>
      </c>
      <c r="H158" s="56" t="s">
        <v>470</v>
      </c>
      <c r="I158" s="62"/>
      <c r="J158" s="63"/>
      <c r="K158" s="63"/>
      <c r="L158" s="15"/>
      <c r="M158" s="15"/>
      <c r="N158" s="15"/>
      <c r="O158" s="15"/>
      <c r="P158" s="15"/>
      <c r="Q158" s="15"/>
      <c r="R158" s="15"/>
      <c r="S158" s="15"/>
      <c r="T158" s="15"/>
      <c r="U158" s="15"/>
      <c r="V158" s="15"/>
      <c r="W158" s="15"/>
      <c r="X158" s="15"/>
      <c r="Y158" s="15"/>
      <c r="Z158" s="15"/>
    </row>
    <row r="159" ht="63.0" customHeight="1">
      <c r="A159" s="37" t="str">
        <f t="shared" si="2"/>
        <v>ST_134</v>
      </c>
      <c r="B159" s="79" t="s">
        <v>35</v>
      </c>
      <c r="C159" s="72" t="s">
        <v>37</v>
      </c>
      <c r="D159" s="79" t="s">
        <v>471</v>
      </c>
      <c r="E159" s="79" t="s">
        <v>461</v>
      </c>
      <c r="F159" s="79" t="s">
        <v>472</v>
      </c>
      <c r="G159" s="56" t="s">
        <v>473</v>
      </c>
      <c r="H159" s="56" t="s">
        <v>474</v>
      </c>
      <c r="I159" s="62"/>
      <c r="J159" s="63"/>
      <c r="K159" s="63"/>
      <c r="L159" s="15"/>
      <c r="M159" s="15"/>
      <c r="N159" s="15"/>
      <c r="O159" s="15"/>
      <c r="P159" s="15"/>
      <c r="Q159" s="15"/>
      <c r="R159" s="15"/>
      <c r="S159" s="15"/>
      <c r="T159" s="15"/>
      <c r="U159" s="15"/>
      <c r="V159" s="15"/>
      <c r="W159" s="15"/>
      <c r="X159" s="15"/>
      <c r="Y159" s="15"/>
      <c r="Z159" s="15"/>
    </row>
    <row r="160" ht="12.75" customHeight="1">
      <c r="A160" s="37" t="str">
        <f t="shared" si="2"/>
        <v>ST_135</v>
      </c>
      <c r="B160" s="56" t="s">
        <v>35</v>
      </c>
      <c r="C160" s="56" t="s">
        <v>37</v>
      </c>
      <c r="D160" s="56" t="s">
        <v>475</v>
      </c>
      <c r="E160" s="56"/>
      <c r="F160" s="56" t="s">
        <v>476</v>
      </c>
      <c r="G160" s="56" t="s">
        <v>477</v>
      </c>
      <c r="H160" s="56" t="s">
        <v>478</v>
      </c>
      <c r="I160" s="62"/>
      <c r="J160" s="63"/>
      <c r="K160" s="63"/>
      <c r="L160" s="15"/>
      <c r="M160" s="15"/>
      <c r="N160" s="15"/>
      <c r="O160" s="15"/>
      <c r="P160" s="15"/>
      <c r="Q160" s="15"/>
      <c r="R160" s="15"/>
      <c r="S160" s="15"/>
      <c r="T160" s="15"/>
      <c r="U160" s="15"/>
      <c r="V160" s="15"/>
      <c r="W160" s="15"/>
      <c r="X160" s="15"/>
      <c r="Y160" s="15"/>
      <c r="Z160" s="15"/>
    </row>
    <row r="161" ht="12.75" customHeight="1">
      <c r="A161" s="37" t="str">
        <f t="shared" si="2"/>
        <v>ST_136</v>
      </c>
      <c r="B161" s="56" t="s">
        <v>35</v>
      </c>
      <c r="C161" s="56" t="s">
        <v>189</v>
      </c>
      <c r="D161" s="56" t="s">
        <v>479</v>
      </c>
      <c r="E161" s="56" t="s">
        <v>480</v>
      </c>
      <c r="F161" s="56" t="s">
        <v>481</v>
      </c>
      <c r="G161" s="56" t="s">
        <v>482</v>
      </c>
      <c r="H161" s="56" t="s">
        <v>483</v>
      </c>
      <c r="I161" s="62"/>
      <c r="J161" s="63"/>
      <c r="K161" s="63"/>
      <c r="L161" s="15"/>
      <c r="M161" s="15"/>
      <c r="N161" s="15"/>
      <c r="O161" s="15"/>
      <c r="P161" s="15"/>
      <c r="Q161" s="15"/>
      <c r="R161" s="15"/>
      <c r="S161" s="15"/>
      <c r="T161" s="15"/>
      <c r="U161" s="15"/>
      <c r="V161" s="15"/>
      <c r="W161" s="15"/>
      <c r="X161" s="15"/>
      <c r="Y161" s="15"/>
      <c r="Z161" s="15"/>
    </row>
    <row r="162" ht="19.5" customHeight="1">
      <c r="A162" s="37" t="str">
        <f t="shared" si="2"/>
        <v/>
      </c>
      <c r="B162" s="39" t="s">
        <v>484</v>
      </c>
      <c r="C162" s="41"/>
      <c r="D162" s="41"/>
      <c r="E162" s="41"/>
      <c r="F162" s="41"/>
      <c r="G162" s="41"/>
      <c r="H162" s="43"/>
      <c r="I162" s="45"/>
      <c r="J162" s="45"/>
      <c r="K162" s="46"/>
      <c r="L162" s="15"/>
      <c r="M162" s="15"/>
      <c r="N162" s="15"/>
      <c r="O162" s="15"/>
      <c r="P162" s="15"/>
      <c r="Q162" s="15"/>
      <c r="R162" s="15"/>
      <c r="S162" s="15"/>
      <c r="T162" s="15"/>
      <c r="U162" s="15"/>
      <c r="V162" s="86"/>
      <c r="W162" s="86"/>
      <c r="X162" s="86"/>
      <c r="Y162" s="86"/>
      <c r="Z162" s="86"/>
    </row>
    <row r="163" ht="12.75" customHeight="1">
      <c r="A163" s="37" t="str">
        <f t="shared" si="2"/>
        <v>ST_137</v>
      </c>
      <c r="B163" s="56" t="s">
        <v>35</v>
      </c>
      <c r="C163" s="56" t="s">
        <v>485</v>
      </c>
      <c r="D163" s="56" t="s">
        <v>486</v>
      </c>
      <c r="E163" s="56" t="s">
        <v>487</v>
      </c>
      <c r="F163" s="56" t="s">
        <v>488</v>
      </c>
      <c r="G163" s="58" t="s">
        <v>489</v>
      </c>
      <c r="H163" s="70" t="s">
        <v>490</v>
      </c>
      <c r="I163" s="81"/>
      <c r="J163" s="82"/>
      <c r="K163" s="82"/>
      <c r="L163" s="15"/>
      <c r="M163" s="15"/>
      <c r="N163" s="15"/>
      <c r="O163" s="15"/>
      <c r="P163" s="15"/>
      <c r="Q163" s="15"/>
      <c r="R163" s="15"/>
      <c r="S163" s="15"/>
      <c r="T163" s="15"/>
      <c r="U163" s="15"/>
      <c r="V163" s="86"/>
      <c r="W163" s="86"/>
      <c r="X163" s="86"/>
      <c r="Y163" s="86"/>
      <c r="Z163" s="86"/>
    </row>
    <row r="164" ht="126.75" customHeight="1">
      <c r="A164" s="37" t="str">
        <f t="shared" si="2"/>
        <v>ST_138</v>
      </c>
      <c r="B164" s="56" t="s">
        <v>35</v>
      </c>
      <c r="C164" s="56" t="s">
        <v>485</v>
      </c>
      <c r="D164" s="56" t="s">
        <v>486</v>
      </c>
      <c r="E164" s="56" t="s">
        <v>491</v>
      </c>
      <c r="F164" s="56" t="s">
        <v>492</v>
      </c>
      <c r="G164" s="58" t="s">
        <v>489</v>
      </c>
      <c r="H164" s="70" t="s">
        <v>493</v>
      </c>
      <c r="I164" s="81"/>
      <c r="J164" s="82"/>
      <c r="K164" s="82"/>
      <c r="L164" s="15"/>
      <c r="M164" s="15"/>
      <c r="N164" s="15"/>
      <c r="O164" s="15"/>
      <c r="P164" s="15"/>
      <c r="Q164" s="15"/>
      <c r="R164" s="15"/>
      <c r="S164" s="15"/>
      <c r="T164" s="15"/>
      <c r="U164" s="15"/>
      <c r="V164" s="86"/>
      <c r="W164" s="86"/>
      <c r="X164" s="86"/>
      <c r="Y164" s="86"/>
      <c r="Z164" s="86"/>
    </row>
    <row r="165" ht="12.75" customHeight="1">
      <c r="A165" s="37" t="str">
        <f t="shared" si="2"/>
        <v>ST_139</v>
      </c>
      <c r="B165" s="56" t="s">
        <v>35</v>
      </c>
      <c r="C165" s="56" t="s">
        <v>485</v>
      </c>
      <c r="D165" s="56" t="s">
        <v>494</v>
      </c>
      <c r="E165" s="56" t="s">
        <v>495</v>
      </c>
      <c r="F165" s="56" t="s">
        <v>496</v>
      </c>
      <c r="G165" s="56" t="s">
        <v>497</v>
      </c>
      <c r="H165" s="19" t="s">
        <v>498</v>
      </c>
      <c r="I165" s="62"/>
      <c r="J165" s="63"/>
      <c r="K165" s="63"/>
      <c r="L165" s="15"/>
      <c r="M165" s="15"/>
      <c r="N165" s="15"/>
      <c r="O165" s="15"/>
      <c r="P165" s="15"/>
      <c r="Q165" s="15"/>
      <c r="R165" s="15"/>
      <c r="S165" s="15"/>
      <c r="T165" s="15"/>
      <c r="U165" s="15"/>
      <c r="V165" s="86"/>
      <c r="W165" s="86"/>
      <c r="X165" s="86"/>
      <c r="Y165" s="86"/>
      <c r="Z165" s="86"/>
    </row>
    <row r="166" ht="187.5" customHeight="1">
      <c r="A166" s="37" t="str">
        <f t="shared" si="2"/>
        <v>ST_140</v>
      </c>
      <c r="B166" s="56" t="s">
        <v>35</v>
      </c>
      <c r="C166" s="56" t="s">
        <v>485</v>
      </c>
      <c r="D166" s="56" t="s">
        <v>499</v>
      </c>
      <c r="E166" s="56" t="s">
        <v>500</v>
      </c>
      <c r="F166" s="56" t="s">
        <v>501</v>
      </c>
      <c r="G166" s="56" t="s">
        <v>502</v>
      </c>
      <c r="H166" s="19" t="s">
        <v>503</v>
      </c>
      <c r="I166" s="62"/>
      <c r="J166" s="63"/>
      <c r="K166" s="63"/>
      <c r="L166" s="15"/>
      <c r="M166" s="15"/>
      <c r="N166" s="15"/>
      <c r="O166" s="15"/>
      <c r="P166" s="15"/>
      <c r="Q166" s="15"/>
      <c r="R166" s="15"/>
      <c r="S166" s="15"/>
      <c r="T166" s="15"/>
      <c r="U166" s="15"/>
      <c r="V166" s="86"/>
      <c r="W166" s="86"/>
      <c r="X166" s="86"/>
      <c r="Y166" s="86"/>
      <c r="Z166" s="86"/>
    </row>
    <row r="167" ht="12.75" customHeight="1">
      <c r="A167" s="37" t="str">
        <f t="shared" si="2"/>
        <v>ST_141</v>
      </c>
      <c r="B167" s="58" t="s">
        <v>35</v>
      </c>
      <c r="C167" s="56" t="s">
        <v>89</v>
      </c>
      <c r="D167" s="58" t="s">
        <v>185</v>
      </c>
      <c r="E167" s="56" t="s">
        <v>504</v>
      </c>
      <c r="F167" s="56" t="s">
        <v>505</v>
      </c>
      <c r="G167" s="56" t="s">
        <v>506</v>
      </c>
      <c r="H167" s="19" t="s">
        <v>507</v>
      </c>
      <c r="I167" s="62"/>
      <c r="J167" s="63"/>
      <c r="K167" s="63"/>
      <c r="L167" s="15"/>
      <c r="M167" s="15"/>
      <c r="N167" s="15"/>
      <c r="O167" s="15"/>
      <c r="P167" s="15"/>
      <c r="Q167" s="15"/>
      <c r="R167" s="15"/>
      <c r="S167" s="15"/>
      <c r="T167" s="15"/>
      <c r="U167" s="15"/>
      <c r="V167" s="86"/>
      <c r="W167" s="86"/>
      <c r="X167" s="86"/>
      <c r="Y167" s="86"/>
      <c r="Z167" s="86"/>
    </row>
    <row r="168" ht="116.25" customHeight="1">
      <c r="A168" s="37" t="str">
        <f t="shared" si="2"/>
        <v>ST_142</v>
      </c>
      <c r="B168" s="58" t="s">
        <v>508</v>
      </c>
      <c r="C168" s="56" t="s">
        <v>189</v>
      </c>
      <c r="D168" s="58" t="s">
        <v>509</v>
      </c>
      <c r="E168" s="56" t="s">
        <v>510</v>
      </c>
      <c r="F168" s="58" t="s">
        <v>511</v>
      </c>
      <c r="G168" s="56" t="s">
        <v>512</v>
      </c>
      <c r="H168" s="19" t="s">
        <v>513</v>
      </c>
      <c r="I168" s="62"/>
      <c r="J168" s="63"/>
      <c r="K168" s="63"/>
      <c r="L168" s="15"/>
      <c r="M168" s="15"/>
      <c r="N168" s="15"/>
      <c r="O168" s="15"/>
      <c r="P168" s="15"/>
      <c r="Q168" s="15"/>
      <c r="R168" s="15"/>
      <c r="S168" s="15"/>
      <c r="T168" s="15"/>
      <c r="U168" s="15"/>
      <c r="V168" s="86"/>
      <c r="W168" s="86"/>
      <c r="X168" s="86"/>
      <c r="Y168" s="86"/>
      <c r="Z168" s="86"/>
    </row>
    <row r="169" ht="12.75" customHeight="1">
      <c r="A169" s="37" t="str">
        <f t="shared" si="2"/>
        <v>ST_143</v>
      </c>
      <c r="B169" s="56" t="s">
        <v>35</v>
      </c>
      <c r="C169" s="56" t="s">
        <v>485</v>
      </c>
      <c r="D169" s="56" t="s">
        <v>514</v>
      </c>
      <c r="E169" s="56" t="s">
        <v>515</v>
      </c>
      <c r="F169" s="56" t="s">
        <v>516</v>
      </c>
      <c r="G169" s="56" t="s">
        <v>517</v>
      </c>
      <c r="H169" s="19" t="s">
        <v>518</v>
      </c>
      <c r="I169" s="62"/>
      <c r="J169" s="63"/>
      <c r="K169" s="63"/>
      <c r="L169" s="15"/>
      <c r="M169" s="15"/>
      <c r="N169" s="15"/>
      <c r="O169" s="15"/>
      <c r="P169" s="15"/>
      <c r="Q169" s="15"/>
      <c r="R169" s="15"/>
      <c r="S169" s="15"/>
      <c r="T169" s="15"/>
      <c r="U169" s="15"/>
      <c r="V169" s="86"/>
      <c r="W169" s="86"/>
      <c r="X169" s="86"/>
      <c r="Y169" s="86"/>
      <c r="Z169" s="86"/>
    </row>
    <row r="170" ht="12.75" customHeight="1">
      <c r="A170" s="37" t="str">
        <f t="shared" si="2"/>
        <v>ST_144</v>
      </c>
      <c r="B170" s="56" t="s">
        <v>35</v>
      </c>
      <c r="C170" s="56" t="s">
        <v>485</v>
      </c>
      <c r="D170" s="56" t="s">
        <v>519</v>
      </c>
      <c r="E170" s="56" t="s">
        <v>520</v>
      </c>
      <c r="F170" s="56" t="s">
        <v>521</v>
      </c>
      <c r="G170" s="56" t="s">
        <v>522</v>
      </c>
      <c r="H170" s="19" t="s">
        <v>523</v>
      </c>
      <c r="I170" s="62"/>
      <c r="J170" s="63"/>
      <c r="K170" s="63"/>
      <c r="L170" s="15"/>
      <c r="M170" s="15"/>
      <c r="N170" s="15"/>
      <c r="O170" s="15"/>
      <c r="P170" s="15"/>
      <c r="Q170" s="15"/>
      <c r="R170" s="15"/>
      <c r="S170" s="15"/>
      <c r="T170" s="15"/>
      <c r="U170" s="15"/>
      <c r="V170" s="86"/>
      <c r="W170" s="86"/>
      <c r="X170" s="86"/>
      <c r="Y170" s="86"/>
      <c r="Z170" s="86"/>
    </row>
    <row r="171" ht="12.75" customHeight="1">
      <c r="A171" s="37" t="str">
        <f t="shared" si="2"/>
        <v>ST_145</v>
      </c>
      <c r="B171" s="58" t="s">
        <v>35</v>
      </c>
      <c r="C171" s="56" t="s">
        <v>89</v>
      </c>
      <c r="D171" s="58" t="s">
        <v>524</v>
      </c>
      <c r="E171" s="56" t="s">
        <v>525</v>
      </c>
      <c r="F171" s="56" t="s">
        <v>526</v>
      </c>
      <c r="G171" s="56" t="s">
        <v>527</v>
      </c>
      <c r="H171" s="19" t="s">
        <v>528</v>
      </c>
      <c r="I171" s="62"/>
      <c r="J171" s="63"/>
      <c r="K171" s="63"/>
      <c r="L171" s="15"/>
      <c r="M171" s="15"/>
      <c r="N171" s="15"/>
      <c r="O171" s="15"/>
      <c r="P171" s="15"/>
      <c r="Q171" s="15"/>
      <c r="R171" s="15"/>
      <c r="S171" s="15"/>
      <c r="T171" s="15"/>
      <c r="U171" s="15"/>
      <c r="V171" s="86"/>
      <c r="W171" s="86"/>
      <c r="X171" s="86"/>
      <c r="Y171" s="86"/>
      <c r="Z171" s="86"/>
    </row>
    <row r="172" ht="122.25" customHeight="1">
      <c r="A172" s="37" t="str">
        <f t="shared" si="2"/>
        <v>ST_146</v>
      </c>
      <c r="B172" s="58" t="s">
        <v>508</v>
      </c>
      <c r="C172" s="56" t="s">
        <v>189</v>
      </c>
      <c r="D172" s="58" t="s">
        <v>509</v>
      </c>
      <c r="E172" s="56" t="s">
        <v>529</v>
      </c>
      <c r="F172" s="58" t="s">
        <v>511</v>
      </c>
      <c r="G172" s="56" t="s">
        <v>512</v>
      </c>
      <c r="H172" s="19" t="s">
        <v>530</v>
      </c>
      <c r="I172" s="62"/>
      <c r="J172" s="63"/>
      <c r="K172" s="63"/>
      <c r="L172" s="15"/>
      <c r="M172" s="15"/>
      <c r="N172" s="15"/>
      <c r="O172" s="15"/>
      <c r="P172" s="15"/>
      <c r="Q172" s="15"/>
      <c r="R172" s="15"/>
      <c r="S172" s="15"/>
      <c r="T172" s="15"/>
      <c r="U172" s="15"/>
      <c r="V172" s="86"/>
      <c r="W172" s="86"/>
      <c r="X172" s="86"/>
      <c r="Y172" s="86"/>
      <c r="Z172" s="86"/>
    </row>
    <row r="173" ht="38.25" customHeight="1">
      <c r="A173" s="37" t="str">
        <f t="shared" si="2"/>
        <v>ST_147</v>
      </c>
      <c r="B173" s="58" t="s">
        <v>35</v>
      </c>
      <c r="C173" s="58" t="s">
        <v>531</v>
      </c>
      <c r="D173" s="58" t="s">
        <v>532</v>
      </c>
      <c r="E173" s="58" t="s">
        <v>533</v>
      </c>
      <c r="F173" s="58" t="s">
        <v>534</v>
      </c>
      <c r="G173" s="56" t="s">
        <v>535</v>
      </c>
      <c r="H173" s="19" t="s">
        <v>536</v>
      </c>
      <c r="I173" s="62"/>
      <c r="J173" s="63"/>
      <c r="K173" s="63"/>
      <c r="L173" s="15"/>
      <c r="M173" s="15"/>
      <c r="N173" s="15"/>
      <c r="O173" s="15"/>
      <c r="P173" s="15"/>
      <c r="Q173" s="15"/>
      <c r="R173" s="15"/>
      <c r="S173" s="15"/>
      <c r="T173" s="15"/>
      <c r="U173" s="15"/>
      <c r="V173" s="86"/>
      <c r="W173" s="86"/>
      <c r="X173" s="86"/>
      <c r="Y173" s="86"/>
      <c r="Z173" s="86"/>
    </row>
    <row r="174" ht="12.75" customHeight="1">
      <c r="A174" s="37" t="str">
        <f t="shared" si="2"/>
        <v>ST_148</v>
      </c>
      <c r="B174" s="32"/>
      <c r="C174" s="32"/>
      <c r="D174" s="32"/>
      <c r="E174" s="32"/>
      <c r="F174" s="32"/>
      <c r="G174" s="56" t="s">
        <v>537</v>
      </c>
      <c r="H174" s="80" t="s">
        <v>538</v>
      </c>
      <c r="I174" s="62"/>
      <c r="J174" s="63"/>
      <c r="K174" s="63"/>
      <c r="L174" s="15"/>
      <c r="M174" s="15"/>
      <c r="N174" s="15"/>
      <c r="O174" s="15"/>
      <c r="P174" s="15"/>
      <c r="Q174" s="15"/>
      <c r="R174" s="15"/>
      <c r="S174" s="15"/>
      <c r="T174" s="15"/>
      <c r="U174" s="15"/>
      <c r="V174" s="86"/>
      <c r="W174" s="86"/>
      <c r="X174" s="86"/>
      <c r="Y174" s="86"/>
      <c r="Z174" s="86"/>
    </row>
    <row r="175" ht="12.75" customHeight="1">
      <c r="A175" s="37" t="str">
        <f t="shared" si="2"/>
        <v>ST_149</v>
      </c>
      <c r="B175" s="58" t="s">
        <v>35</v>
      </c>
      <c r="C175" s="56" t="s">
        <v>531</v>
      </c>
      <c r="D175" s="58" t="s">
        <v>539</v>
      </c>
      <c r="E175" s="56" t="s">
        <v>540</v>
      </c>
      <c r="F175" s="56" t="s">
        <v>541</v>
      </c>
      <c r="G175" s="56" t="s">
        <v>542</v>
      </c>
      <c r="H175" s="19" t="s">
        <v>543</v>
      </c>
      <c r="I175" s="62"/>
      <c r="J175" s="63"/>
      <c r="K175" s="63"/>
      <c r="L175" s="15"/>
      <c r="M175" s="15"/>
      <c r="N175" s="15"/>
      <c r="O175" s="15"/>
      <c r="P175" s="15"/>
      <c r="Q175" s="15"/>
      <c r="R175" s="15"/>
      <c r="S175" s="15"/>
      <c r="T175" s="15"/>
      <c r="U175" s="15"/>
      <c r="V175" s="86"/>
      <c r="W175" s="86"/>
      <c r="X175" s="86"/>
      <c r="Y175" s="86"/>
      <c r="Z175" s="86"/>
    </row>
    <row r="176" ht="12.75" customHeight="1">
      <c r="A176" s="37" t="str">
        <f t="shared" si="2"/>
        <v>ST_150</v>
      </c>
      <c r="B176" s="58" t="s">
        <v>35</v>
      </c>
      <c r="C176" s="58" t="s">
        <v>37</v>
      </c>
      <c r="D176" s="58" t="s">
        <v>532</v>
      </c>
      <c r="E176" s="58" t="s">
        <v>544</v>
      </c>
      <c r="F176" s="58" t="s">
        <v>534</v>
      </c>
      <c r="G176" s="56" t="s">
        <v>535</v>
      </c>
      <c r="H176" s="19" t="s">
        <v>545</v>
      </c>
      <c r="I176" s="62"/>
      <c r="J176" s="63"/>
      <c r="K176" s="63"/>
      <c r="L176" s="15"/>
      <c r="M176" s="15"/>
      <c r="N176" s="15"/>
      <c r="O176" s="15"/>
      <c r="P176" s="15"/>
      <c r="Q176" s="15"/>
      <c r="R176" s="15"/>
      <c r="S176" s="15"/>
      <c r="T176" s="15"/>
      <c r="U176" s="15"/>
      <c r="V176" s="86"/>
      <c r="W176" s="86"/>
      <c r="X176" s="86"/>
      <c r="Y176" s="86"/>
      <c r="Z176" s="86"/>
    </row>
    <row r="177" ht="12.75" customHeight="1">
      <c r="A177" s="37" t="str">
        <f t="shared" si="2"/>
        <v>ST_151</v>
      </c>
      <c r="B177" s="32"/>
      <c r="C177" s="32"/>
      <c r="D177" s="32"/>
      <c r="E177" s="32"/>
      <c r="F177" s="32"/>
      <c r="G177" s="56" t="s">
        <v>537</v>
      </c>
      <c r="H177" s="80" t="s">
        <v>546</v>
      </c>
      <c r="I177" s="62"/>
      <c r="J177" s="63"/>
      <c r="K177" s="63"/>
      <c r="L177" s="15"/>
      <c r="M177" s="15"/>
      <c r="N177" s="15"/>
      <c r="O177" s="15"/>
      <c r="P177" s="15"/>
      <c r="Q177" s="15"/>
      <c r="R177" s="15"/>
      <c r="S177" s="15"/>
      <c r="T177" s="15"/>
      <c r="U177" s="15"/>
      <c r="V177" s="86"/>
      <c r="W177" s="86"/>
      <c r="X177" s="86"/>
      <c r="Y177" s="86"/>
      <c r="Z177" s="86"/>
    </row>
    <row r="178" ht="12.75" customHeight="1">
      <c r="A178" s="37" t="str">
        <f t="shared" si="2"/>
        <v>ST_152</v>
      </c>
      <c r="B178" s="58" t="s">
        <v>35</v>
      </c>
      <c r="C178" s="56" t="s">
        <v>37</v>
      </c>
      <c r="D178" s="58" t="s">
        <v>539</v>
      </c>
      <c r="E178" s="56" t="s">
        <v>547</v>
      </c>
      <c r="F178" s="56" t="s">
        <v>541</v>
      </c>
      <c r="G178" s="56" t="s">
        <v>542</v>
      </c>
      <c r="H178" s="19" t="s">
        <v>548</v>
      </c>
      <c r="I178" s="62"/>
      <c r="J178" s="63"/>
      <c r="K178" s="63"/>
      <c r="L178" s="15"/>
      <c r="M178" s="15"/>
      <c r="N178" s="15"/>
      <c r="O178" s="15"/>
      <c r="P178" s="15"/>
      <c r="Q178" s="15"/>
      <c r="R178" s="15"/>
      <c r="S178" s="15"/>
      <c r="T178" s="15"/>
      <c r="U178" s="15"/>
      <c r="V178" s="86"/>
      <c r="W178" s="86"/>
      <c r="X178" s="86"/>
      <c r="Y178" s="86"/>
      <c r="Z178" s="86"/>
    </row>
    <row r="179" ht="12.75" customHeight="1">
      <c r="A179" s="37" t="str">
        <f t="shared" si="2"/>
        <v>ST_153</v>
      </c>
      <c r="B179" s="58" t="s">
        <v>35</v>
      </c>
      <c r="C179" s="56"/>
      <c r="D179" s="58" t="s">
        <v>549</v>
      </c>
      <c r="E179" s="56" t="s">
        <v>550</v>
      </c>
      <c r="F179" s="56" t="s">
        <v>551</v>
      </c>
      <c r="G179" s="56" t="s">
        <v>552</v>
      </c>
      <c r="H179" s="19" t="s">
        <v>553</v>
      </c>
      <c r="I179" s="62"/>
      <c r="J179" s="63"/>
      <c r="K179" s="63"/>
      <c r="L179" s="15"/>
      <c r="M179" s="15"/>
      <c r="N179" s="15"/>
      <c r="O179" s="15"/>
      <c r="P179" s="15"/>
      <c r="Q179" s="15"/>
      <c r="R179" s="15"/>
      <c r="S179" s="15"/>
      <c r="T179" s="15"/>
      <c r="U179" s="15"/>
      <c r="V179" s="86"/>
      <c r="W179" s="86"/>
      <c r="X179" s="86"/>
      <c r="Y179" s="86"/>
      <c r="Z179" s="86"/>
    </row>
    <row r="180" ht="12.75" customHeight="1">
      <c r="A180" s="37" t="str">
        <f t="shared" si="2"/>
        <v>ST_154</v>
      </c>
      <c r="B180" s="56" t="s">
        <v>35</v>
      </c>
      <c r="C180" s="56" t="s">
        <v>37</v>
      </c>
      <c r="D180" s="56" t="s">
        <v>554</v>
      </c>
      <c r="E180" s="56" t="s">
        <v>555</v>
      </c>
      <c r="F180" s="56" t="s">
        <v>556</v>
      </c>
      <c r="G180" s="56" t="s">
        <v>557</v>
      </c>
      <c r="H180" s="80" t="s">
        <v>558</v>
      </c>
      <c r="I180" s="62"/>
      <c r="J180" s="56"/>
      <c r="K180" s="56"/>
      <c r="L180" s="15"/>
      <c r="M180" s="15"/>
      <c r="N180" s="15"/>
      <c r="O180" s="15"/>
      <c r="P180" s="15"/>
      <c r="Q180" s="15"/>
      <c r="R180" s="15"/>
      <c r="S180" s="15"/>
      <c r="T180" s="15"/>
      <c r="U180" s="15"/>
      <c r="V180" s="86"/>
      <c r="W180" s="86"/>
      <c r="X180" s="86"/>
      <c r="Y180" s="86"/>
      <c r="Z180" s="86"/>
    </row>
    <row r="181" ht="12.75" customHeight="1">
      <c r="A181" s="37" t="str">
        <f t="shared" si="2"/>
        <v/>
      </c>
      <c r="B181" s="39" t="s">
        <v>559</v>
      </c>
      <c r="C181" s="41"/>
      <c r="D181" s="41"/>
      <c r="E181" s="41"/>
      <c r="F181" s="41"/>
      <c r="G181" s="41"/>
      <c r="H181" s="41"/>
      <c r="I181" s="41"/>
      <c r="J181" s="41"/>
      <c r="K181" s="84"/>
      <c r="L181" s="15"/>
      <c r="M181" s="15"/>
      <c r="N181" s="15"/>
      <c r="O181" s="15"/>
      <c r="P181" s="15"/>
      <c r="Q181" s="15"/>
      <c r="R181" s="15"/>
      <c r="S181" s="15"/>
      <c r="T181" s="15"/>
      <c r="U181" s="15"/>
      <c r="V181" s="86"/>
      <c r="W181" s="86"/>
      <c r="X181" s="86"/>
      <c r="Y181" s="86"/>
      <c r="Z181" s="86"/>
    </row>
    <row r="182" ht="12.75" customHeight="1">
      <c r="A182" s="37" t="str">
        <f t="shared" si="2"/>
        <v>ST_155</v>
      </c>
      <c r="B182" s="56" t="s">
        <v>35</v>
      </c>
      <c r="C182" s="56" t="s">
        <v>485</v>
      </c>
      <c r="D182" s="56" t="s">
        <v>560</v>
      </c>
      <c r="E182" s="56" t="s">
        <v>561</v>
      </c>
      <c r="F182" s="56" t="s">
        <v>562</v>
      </c>
      <c r="G182" s="58" t="s">
        <v>563</v>
      </c>
      <c r="H182" s="70" t="s">
        <v>564</v>
      </c>
      <c r="I182" s="81"/>
      <c r="J182" s="82"/>
      <c r="K182" s="82"/>
      <c r="L182" s="15"/>
      <c r="M182" s="15"/>
      <c r="N182" s="15"/>
      <c r="O182" s="15"/>
      <c r="P182" s="15"/>
      <c r="Q182" s="15"/>
      <c r="R182" s="15"/>
      <c r="S182" s="15"/>
      <c r="T182" s="15"/>
      <c r="U182" s="15"/>
      <c r="V182" s="86"/>
      <c r="W182" s="86"/>
      <c r="X182" s="86"/>
      <c r="Y182" s="86"/>
      <c r="Z182" s="86"/>
    </row>
    <row r="183" ht="126.75" customHeight="1">
      <c r="A183" s="37" t="str">
        <f t="shared" si="2"/>
        <v>ST_156</v>
      </c>
      <c r="B183" s="56" t="s">
        <v>35</v>
      </c>
      <c r="C183" s="56" t="s">
        <v>485</v>
      </c>
      <c r="D183" s="56" t="s">
        <v>560</v>
      </c>
      <c r="E183" s="56" t="s">
        <v>565</v>
      </c>
      <c r="F183" s="56" t="s">
        <v>492</v>
      </c>
      <c r="G183" s="58" t="s">
        <v>563</v>
      </c>
      <c r="H183" s="70" t="s">
        <v>566</v>
      </c>
      <c r="I183" s="81"/>
      <c r="J183" s="82"/>
      <c r="K183" s="82"/>
      <c r="L183" s="15"/>
      <c r="M183" s="15"/>
      <c r="N183" s="15"/>
      <c r="O183" s="15"/>
      <c r="P183" s="15"/>
      <c r="Q183" s="15"/>
      <c r="R183" s="15"/>
      <c r="S183" s="15"/>
      <c r="T183" s="15"/>
      <c r="U183" s="15"/>
      <c r="V183" s="86"/>
      <c r="W183" s="86"/>
      <c r="X183" s="86"/>
      <c r="Y183" s="86"/>
      <c r="Z183" s="86"/>
    </row>
    <row r="184" ht="12.75" customHeight="1">
      <c r="A184" s="37" t="str">
        <f t="shared" si="2"/>
        <v>ST_157</v>
      </c>
      <c r="B184" s="56" t="s">
        <v>35</v>
      </c>
      <c r="C184" s="56" t="s">
        <v>485</v>
      </c>
      <c r="D184" s="56" t="s">
        <v>567</v>
      </c>
      <c r="E184" s="56" t="s">
        <v>568</v>
      </c>
      <c r="F184" s="56" t="s">
        <v>569</v>
      </c>
      <c r="G184" s="56" t="s">
        <v>570</v>
      </c>
      <c r="H184" s="19" t="s">
        <v>571</v>
      </c>
      <c r="I184" s="62"/>
      <c r="J184" s="63"/>
      <c r="K184" s="63"/>
      <c r="L184" s="15"/>
      <c r="M184" s="15"/>
      <c r="N184" s="15"/>
      <c r="O184" s="15"/>
      <c r="P184" s="15"/>
      <c r="Q184" s="15"/>
      <c r="R184" s="15"/>
      <c r="S184" s="15"/>
      <c r="T184" s="15"/>
      <c r="U184" s="15"/>
      <c r="V184" s="86"/>
      <c r="W184" s="86"/>
      <c r="X184" s="86"/>
      <c r="Y184" s="86"/>
      <c r="Z184" s="86"/>
    </row>
    <row r="185" ht="187.5" customHeight="1">
      <c r="A185" s="37" t="str">
        <f t="shared" si="2"/>
        <v>ST_158</v>
      </c>
      <c r="B185" s="56" t="s">
        <v>35</v>
      </c>
      <c r="C185" s="56" t="s">
        <v>485</v>
      </c>
      <c r="D185" s="56" t="s">
        <v>572</v>
      </c>
      <c r="E185" s="56" t="s">
        <v>573</v>
      </c>
      <c r="F185" s="56" t="s">
        <v>574</v>
      </c>
      <c r="G185" s="56" t="s">
        <v>575</v>
      </c>
      <c r="H185" s="19" t="s">
        <v>576</v>
      </c>
      <c r="I185" s="62"/>
      <c r="J185" s="63"/>
      <c r="K185" s="63"/>
      <c r="L185" s="15"/>
      <c r="M185" s="15"/>
      <c r="N185" s="15"/>
      <c r="O185" s="15"/>
      <c r="P185" s="15"/>
      <c r="Q185" s="15"/>
      <c r="R185" s="15"/>
      <c r="S185" s="15"/>
      <c r="T185" s="15"/>
      <c r="U185" s="15"/>
      <c r="V185" s="86"/>
      <c r="W185" s="86"/>
      <c r="X185" s="86"/>
      <c r="Y185" s="86"/>
      <c r="Z185" s="86"/>
    </row>
    <row r="186" ht="12.75" customHeight="1">
      <c r="A186" s="37" t="str">
        <f t="shared" si="2"/>
        <v>ST_159</v>
      </c>
      <c r="B186" s="58" t="s">
        <v>35</v>
      </c>
      <c r="C186" s="56" t="s">
        <v>89</v>
      </c>
      <c r="D186" s="58" t="s">
        <v>185</v>
      </c>
      <c r="E186" s="56" t="s">
        <v>577</v>
      </c>
      <c r="F186" s="56" t="s">
        <v>578</v>
      </c>
      <c r="G186" s="56" t="s">
        <v>506</v>
      </c>
      <c r="H186" s="19" t="s">
        <v>579</v>
      </c>
      <c r="I186" s="62"/>
      <c r="J186" s="63"/>
      <c r="K186" s="63"/>
      <c r="L186" s="15"/>
      <c r="M186" s="15"/>
      <c r="N186" s="15"/>
      <c r="O186" s="15"/>
      <c r="P186" s="15"/>
      <c r="Q186" s="15"/>
      <c r="R186" s="15"/>
      <c r="S186" s="15"/>
      <c r="T186" s="15"/>
      <c r="U186" s="15"/>
      <c r="V186" s="86"/>
      <c r="W186" s="86"/>
      <c r="X186" s="86"/>
      <c r="Y186" s="86"/>
      <c r="Z186" s="86"/>
    </row>
    <row r="187" ht="116.25" customHeight="1">
      <c r="A187" s="37" t="str">
        <f t="shared" si="2"/>
        <v>ST_160</v>
      </c>
      <c r="B187" s="58" t="s">
        <v>508</v>
      </c>
      <c r="C187" s="56" t="s">
        <v>189</v>
      </c>
      <c r="D187" s="58" t="s">
        <v>580</v>
      </c>
      <c r="E187" s="56" t="s">
        <v>581</v>
      </c>
      <c r="F187" s="58" t="s">
        <v>582</v>
      </c>
      <c r="G187" s="56" t="s">
        <v>583</v>
      </c>
      <c r="H187" s="19" t="s">
        <v>584</v>
      </c>
      <c r="I187" s="62"/>
      <c r="J187" s="63"/>
      <c r="K187" s="63"/>
      <c r="L187" s="15"/>
      <c r="M187" s="15"/>
      <c r="N187" s="15"/>
      <c r="O187" s="15"/>
      <c r="P187" s="15"/>
      <c r="Q187" s="15"/>
      <c r="R187" s="15"/>
      <c r="S187" s="15"/>
      <c r="T187" s="15"/>
      <c r="U187" s="15"/>
      <c r="V187" s="86"/>
      <c r="W187" s="86"/>
      <c r="X187" s="86"/>
      <c r="Y187" s="86"/>
      <c r="Z187" s="86"/>
    </row>
    <row r="188" ht="12.75" customHeight="1">
      <c r="A188" s="37" t="str">
        <f t="shared" si="2"/>
        <v>ST_161</v>
      </c>
      <c r="B188" s="56" t="s">
        <v>35</v>
      </c>
      <c r="C188" s="56" t="s">
        <v>485</v>
      </c>
      <c r="D188" s="56" t="s">
        <v>585</v>
      </c>
      <c r="E188" s="56" t="s">
        <v>586</v>
      </c>
      <c r="F188" s="56" t="s">
        <v>587</v>
      </c>
      <c r="G188" s="56" t="s">
        <v>588</v>
      </c>
      <c r="H188" s="19" t="s">
        <v>589</v>
      </c>
      <c r="I188" s="62"/>
      <c r="J188" s="63"/>
      <c r="K188" s="63"/>
      <c r="L188" s="15"/>
      <c r="M188" s="15"/>
      <c r="N188" s="15"/>
      <c r="O188" s="15"/>
      <c r="P188" s="15"/>
      <c r="Q188" s="15"/>
      <c r="R188" s="15"/>
      <c r="S188" s="15"/>
      <c r="T188" s="15"/>
      <c r="U188" s="15"/>
      <c r="V188" s="86"/>
      <c r="W188" s="86"/>
      <c r="X188" s="86"/>
      <c r="Y188" s="86"/>
      <c r="Z188" s="86"/>
    </row>
    <row r="189" ht="12.75" customHeight="1">
      <c r="A189" s="37" t="str">
        <f t="shared" si="2"/>
        <v>ST_162</v>
      </c>
      <c r="B189" s="56" t="s">
        <v>35</v>
      </c>
      <c r="C189" s="56" t="s">
        <v>485</v>
      </c>
      <c r="D189" s="56" t="s">
        <v>590</v>
      </c>
      <c r="E189" s="56" t="s">
        <v>591</v>
      </c>
      <c r="F189" s="56" t="s">
        <v>592</v>
      </c>
      <c r="G189" s="56" t="s">
        <v>593</v>
      </c>
      <c r="H189" s="19" t="s">
        <v>594</v>
      </c>
      <c r="I189" s="62"/>
      <c r="J189" s="63"/>
      <c r="K189" s="63"/>
      <c r="L189" s="15"/>
      <c r="M189" s="15"/>
      <c r="N189" s="15"/>
      <c r="O189" s="15"/>
      <c r="P189" s="15"/>
      <c r="Q189" s="15"/>
      <c r="R189" s="15"/>
      <c r="S189" s="15"/>
      <c r="T189" s="15"/>
      <c r="U189" s="15"/>
      <c r="V189" s="86"/>
      <c r="W189" s="86"/>
      <c r="X189" s="86"/>
      <c r="Y189" s="86"/>
      <c r="Z189" s="86"/>
    </row>
    <row r="190" ht="12.75" customHeight="1">
      <c r="A190" s="37" t="str">
        <f t="shared" si="2"/>
        <v>ST_163</v>
      </c>
      <c r="B190" s="58" t="s">
        <v>35</v>
      </c>
      <c r="C190" s="56" t="s">
        <v>89</v>
      </c>
      <c r="D190" s="58" t="s">
        <v>524</v>
      </c>
      <c r="E190" s="56" t="s">
        <v>595</v>
      </c>
      <c r="F190" s="56" t="s">
        <v>596</v>
      </c>
      <c r="G190" s="56" t="s">
        <v>597</v>
      </c>
      <c r="H190" s="19" t="s">
        <v>598</v>
      </c>
      <c r="I190" s="62"/>
      <c r="J190" s="63"/>
      <c r="K190" s="63"/>
      <c r="L190" s="15"/>
      <c r="M190" s="15"/>
      <c r="N190" s="15"/>
      <c r="O190" s="15"/>
      <c r="P190" s="15"/>
      <c r="Q190" s="15"/>
      <c r="R190" s="15"/>
      <c r="S190" s="15"/>
      <c r="T190" s="15"/>
      <c r="U190" s="15"/>
      <c r="V190" s="86"/>
      <c r="W190" s="86"/>
      <c r="X190" s="86"/>
      <c r="Y190" s="86"/>
      <c r="Z190" s="86"/>
    </row>
    <row r="191" ht="205.5" customHeight="1">
      <c r="A191" s="37" t="str">
        <f t="shared" si="2"/>
        <v>ST_164</v>
      </c>
      <c r="B191" s="58" t="s">
        <v>508</v>
      </c>
      <c r="C191" s="56" t="s">
        <v>189</v>
      </c>
      <c r="D191" s="58" t="s">
        <v>580</v>
      </c>
      <c r="E191" s="56" t="s">
        <v>599</v>
      </c>
      <c r="F191" s="58" t="s">
        <v>582</v>
      </c>
      <c r="G191" s="56" t="s">
        <v>583</v>
      </c>
      <c r="H191" s="19" t="s">
        <v>600</v>
      </c>
      <c r="I191" s="62"/>
      <c r="J191" s="63"/>
      <c r="K191" s="63"/>
      <c r="L191" s="15"/>
      <c r="M191" s="15"/>
      <c r="N191" s="15"/>
      <c r="O191" s="15"/>
      <c r="P191" s="15"/>
      <c r="Q191" s="15"/>
      <c r="R191" s="15"/>
      <c r="S191" s="15"/>
      <c r="T191" s="15"/>
      <c r="U191" s="15"/>
      <c r="V191" s="86"/>
      <c r="W191" s="86"/>
      <c r="X191" s="86"/>
      <c r="Y191" s="86"/>
      <c r="Z191" s="86"/>
    </row>
    <row r="192" ht="38.25" customHeight="1">
      <c r="A192" s="37" t="str">
        <f t="shared" si="2"/>
        <v>ST_165</v>
      </c>
      <c r="B192" s="58" t="s">
        <v>35</v>
      </c>
      <c r="C192" s="58" t="s">
        <v>531</v>
      </c>
      <c r="D192" s="58" t="s">
        <v>601</v>
      </c>
      <c r="E192" s="58" t="s">
        <v>602</v>
      </c>
      <c r="F192" s="58" t="s">
        <v>603</v>
      </c>
      <c r="G192" s="56" t="s">
        <v>604</v>
      </c>
      <c r="H192" s="19" t="s">
        <v>605</v>
      </c>
      <c r="I192" s="62"/>
      <c r="J192" s="63"/>
      <c r="K192" s="63"/>
      <c r="L192" s="15"/>
      <c r="M192" s="15"/>
      <c r="N192" s="15"/>
      <c r="O192" s="15"/>
      <c r="P192" s="15"/>
      <c r="Q192" s="15"/>
      <c r="R192" s="15"/>
      <c r="S192" s="15"/>
      <c r="T192" s="15"/>
      <c r="U192" s="15"/>
      <c r="V192" s="86"/>
      <c r="W192" s="86"/>
      <c r="X192" s="86"/>
      <c r="Y192" s="86"/>
      <c r="Z192" s="86"/>
    </row>
    <row r="193" ht="12.75" customHeight="1">
      <c r="A193" s="37" t="str">
        <f t="shared" si="2"/>
        <v>ST_166</v>
      </c>
      <c r="B193" s="32"/>
      <c r="C193" s="32"/>
      <c r="D193" s="32"/>
      <c r="E193" s="32"/>
      <c r="F193" s="32"/>
      <c r="G193" s="56" t="s">
        <v>537</v>
      </c>
      <c r="H193" s="80" t="s">
        <v>606</v>
      </c>
      <c r="I193" s="62"/>
      <c r="J193" s="63"/>
      <c r="K193" s="63"/>
      <c r="L193" s="15"/>
      <c r="M193" s="15"/>
      <c r="N193" s="15"/>
      <c r="O193" s="15"/>
      <c r="P193" s="15"/>
      <c r="Q193" s="15"/>
      <c r="R193" s="15"/>
      <c r="S193" s="15"/>
      <c r="T193" s="15"/>
      <c r="U193" s="15"/>
      <c r="V193" s="86"/>
      <c r="W193" s="86"/>
      <c r="X193" s="86"/>
      <c r="Y193" s="86"/>
      <c r="Z193" s="86"/>
    </row>
    <row r="194" ht="12.75" customHeight="1">
      <c r="A194" s="37" t="str">
        <f t="shared" si="2"/>
        <v>ST_167</v>
      </c>
      <c r="B194" s="58" t="s">
        <v>35</v>
      </c>
      <c r="C194" s="56" t="s">
        <v>531</v>
      </c>
      <c r="D194" s="58" t="s">
        <v>607</v>
      </c>
      <c r="E194" s="56" t="s">
        <v>608</v>
      </c>
      <c r="F194" s="56" t="s">
        <v>609</v>
      </c>
      <c r="G194" s="56" t="s">
        <v>610</v>
      </c>
      <c r="H194" s="19" t="s">
        <v>611</v>
      </c>
      <c r="I194" s="62"/>
      <c r="J194" s="63"/>
      <c r="K194" s="63"/>
      <c r="L194" s="15"/>
      <c r="M194" s="15"/>
      <c r="N194" s="15"/>
      <c r="O194" s="15"/>
      <c r="P194" s="15"/>
      <c r="Q194" s="15"/>
      <c r="R194" s="15"/>
      <c r="S194" s="15"/>
      <c r="T194" s="15"/>
      <c r="U194" s="15"/>
      <c r="V194" s="86"/>
      <c r="W194" s="86"/>
      <c r="X194" s="86"/>
      <c r="Y194" s="86"/>
      <c r="Z194" s="86"/>
    </row>
    <row r="195" ht="12.75" customHeight="1">
      <c r="A195" s="37" t="str">
        <f t="shared" si="2"/>
        <v>ST_168</v>
      </c>
      <c r="B195" s="58" t="s">
        <v>35</v>
      </c>
      <c r="C195" s="58" t="s">
        <v>37</v>
      </c>
      <c r="D195" s="58" t="s">
        <v>601</v>
      </c>
      <c r="E195" s="58" t="s">
        <v>612</v>
      </c>
      <c r="F195" s="58" t="s">
        <v>603</v>
      </c>
      <c r="G195" s="56" t="s">
        <v>604</v>
      </c>
      <c r="H195" s="19" t="s">
        <v>613</v>
      </c>
      <c r="I195" s="62"/>
      <c r="J195" s="63"/>
      <c r="K195" s="63"/>
      <c r="L195" s="15"/>
      <c r="M195" s="15"/>
      <c r="N195" s="15"/>
      <c r="O195" s="15"/>
      <c r="P195" s="15"/>
      <c r="Q195" s="15"/>
      <c r="R195" s="15"/>
      <c r="S195" s="15"/>
      <c r="T195" s="15"/>
      <c r="U195" s="15"/>
      <c r="V195" s="86"/>
      <c r="W195" s="86"/>
      <c r="X195" s="86"/>
      <c r="Y195" s="86"/>
      <c r="Z195" s="86"/>
    </row>
    <row r="196" ht="12.75" customHeight="1">
      <c r="A196" s="37" t="str">
        <f t="shared" si="2"/>
        <v>ST_169</v>
      </c>
      <c r="B196" s="32"/>
      <c r="C196" s="32"/>
      <c r="D196" s="32"/>
      <c r="E196" s="32"/>
      <c r="F196" s="32"/>
      <c r="G196" s="56" t="s">
        <v>537</v>
      </c>
      <c r="H196" s="80" t="s">
        <v>614</v>
      </c>
      <c r="I196" s="62"/>
      <c r="J196" s="63"/>
      <c r="K196" s="63"/>
      <c r="L196" s="15"/>
      <c r="M196" s="15"/>
      <c r="N196" s="15"/>
      <c r="O196" s="15"/>
      <c r="P196" s="15"/>
      <c r="Q196" s="15"/>
      <c r="R196" s="15"/>
      <c r="S196" s="15"/>
      <c r="T196" s="15"/>
      <c r="U196" s="15"/>
      <c r="V196" s="86"/>
      <c r="W196" s="86"/>
      <c r="X196" s="86"/>
      <c r="Y196" s="86"/>
      <c r="Z196" s="86"/>
    </row>
    <row r="197" ht="12.75" customHeight="1">
      <c r="A197" s="37" t="str">
        <f t="shared" si="2"/>
        <v>ST_170</v>
      </c>
      <c r="B197" s="58" t="s">
        <v>35</v>
      </c>
      <c r="C197" s="56" t="s">
        <v>37</v>
      </c>
      <c r="D197" s="58" t="s">
        <v>607</v>
      </c>
      <c r="E197" s="56" t="s">
        <v>547</v>
      </c>
      <c r="F197" s="56" t="s">
        <v>609</v>
      </c>
      <c r="G197" s="56" t="s">
        <v>610</v>
      </c>
      <c r="H197" s="19" t="s">
        <v>615</v>
      </c>
      <c r="I197" s="62"/>
      <c r="J197" s="63"/>
      <c r="K197" s="63"/>
      <c r="L197" s="15"/>
      <c r="M197" s="15"/>
      <c r="N197" s="15"/>
      <c r="O197" s="15"/>
      <c r="P197" s="15"/>
      <c r="Q197" s="15"/>
      <c r="R197" s="15"/>
      <c r="S197" s="15"/>
      <c r="T197" s="15"/>
      <c r="U197" s="15"/>
      <c r="V197" s="86"/>
      <c r="W197" s="86"/>
      <c r="X197" s="86"/>
      <c r="Y197" s="86"/>
      <c r="Z197" s="86"/>
    </row>
    <row r="198" ht="12.75" customHeight="1">
      <c r="A198" s="37" t="str">
        <f t="shared" si="2"/>
        <v>ST_171</v>
      </c>
      <c r="B198" s="58" t="s">
        <v>35</v>
      </c>
      <c r="C198" s="56"/>
      <c r="D198" s="58" t="s">
        <v>549</v>
      </c>
      <c r="E198" s="56" t="s">
        <v>550</v>
      </c>
      <c r="F198" s="56" t="s">
        <v>616</v>
      </c>
      <c r="G198" s="56" t="s">
        <v>617</v>
      </c>
      <c r="H198" s="19" t="s">
        <v>618</v>
      </c>
      <c r="I198" s="62"/>
      <c r="J198" s="63"/>
      <c r="K198" s="63"/>
      <c r="L198" s="15"/>
      <c r="M198" s="15"/>
      <c r="N198" s="15"/>
      <c r="O198" s="15"/>
      <c r="P198" s="15"/>
      <c r="Q198" s="15"/>
      <c r="R198" s="15"/>
      <c r="S198" s="15"/>
      <c r="T198" s="15"/>
      <c r="U198" s="15"/>
      <c r="V198" s="86"/>
      <c r="W198" s="86"/>
      <c r="X198" s="86"/>
      <c r="Y198" s="86"/>
      <c r="Z198" s="86"/>
    </row>
    <row r="199" ht="12.75" customHeight="1">
      <c r="A199" s="37" t="str">
        <f t="shared" si="2"/>
        <v>ST_172</v>
      </c>
      <c r="B199" s="56" t="s">
        <v>35</v>
      </c>
      <c r="C199" s="56" t="s">
        <v>37</v>
      </c>
      <c r="D199" s="56" t="s">
        <v>619</v>
      </c>
      <c r="E199" s="56" t="s">
        <v>620</v>
      </c>
      <c r="F199" s="56" t="s">
        <v>621</v>
      </c>
      <c r="G199" s="56" t="s">
        <v>557</v>
      </c>
      <c r="H199" s="80" t="s">
        <v>622</v>
      </c>
      <c r="I199" s="62"/>
      <c r="J199" s="56"/>
      <c r="K199" s="56"/>
      <c r="L199" s="15"/>
      <c r="M199" s="15"/>
      <c r="N199" s="15"/>
      <c r="O199" s="15"/>
      <c r="P199" s="15"/>
      <c r="Q199" s="15"/>
      <c r="R199" s="15"/>
      <c r="S199" s="15"/>
      <c r="T199" s="15"/>
      <c r="U199" s="15"/>
      <c r="V199" s="86"/>
      <c r="W199" s="86"/>
      <c r="X199" s="86"/>
      <c r="Y199" s="86"/>
      <c r="Z199" s="86"/>
    </row>
    <row r="200" ht="19.5" customHeight="1">
      <c r="A200" s="37" t="str">
        <f t="shared" si="2"/>
        <v/>
      </c>
      <c r="B200" s="39" t="s">
        <v>623</v>
      </c>
      <c r="C200" s="41"/>
      <c r="D200" s="41"/>
      <c r="E200" s="41"/>
      <c r="F200" s="41"/>
      <c r="G200" s="41"/>
      <c r="H200" s="43"/>
      <c r="I200" s="45"/>
      <c r="J200" s="45"/>
      <c r="K200" s="46"/>
      <c r="L200" s="15"/>
      <c r="M200" s="15"/>
      <c r="N200" s="15"/>
      <c r="O200" s="15"/>
      <c r="P200" s="15"/>
      <c r="Q200" s="15"/>
      <c r="R200" s="15"/>
      <c r="S200" s="15"/>
      <c r="T200" s="15"/>
      <c r="U200" s="15"/>
      <c r="V200" s="15"/>
      <c r="W200" s="15"/>
      <c r="X200" s="15"/>
      <c r="Y200" s="15"/>
      <c r="Z200" s="15"/>
    </row>
    <row r="201" ht="17.25" customHeight="1">
      <c r="A201" s="37" t="str">
        <f t="shared" si="2"/>
        <v/>
      </c>
      <c r="B201" s="48" t="s">
        <v>624</v>
      </c>
      <c r="C201" s="49"/>
      <c r="D201" s="49"/>
      <c r="E201" s="49"/>
      <c r="F201" s="49"/>
      <c r="G201" s="50"/>
      <c r="H201" s="50"/>
      <c r="I201" s="50"/>
      <c r="J201" s="50"/>
      <c r="K201" s="52"/>
      <c r="L201" s="15"/>
      <c r="M201" s="15"/>
      <c r="N201" s="15"/>
      <c r="O201" s="15"/>
      <c r="P201" s="15"/>
      <c r="Q201" s="15"/>
      <c r="R201" s="15"/>
      <c r="S201" s="15"/>
      <c r="T201" s="15"/>
      <c r="U201" s="15"/>
      <c r="V201" s="15"/>
      <c r="W201" s="15"/>
      <c r="X201" s="15"/>
      <c r="Y201" s="15"/>
      <c r="Z201" s="15"/>
    </row>
    <row r="202" ht="128.25" customHeight="1">
      <c r="A202" s="37" t="str">
        <f t="shared" si="2"/>
        <v/>
      </c>
      <c r="B202" s="83" t="s">
        <v>625</v>
      </c>
      <c r="C202" s="41"/>
      <c r="D202" s="41"/>
      <c r="E202" s="41"/>
      <c r="F202" s="41"/>
      <c r="G202" s="41"/>
      <c r="H202" s="84"/>
      <c r="I202" s="62"/>
      <c r="J202" s="63"/>
      <c r="K202" s="63"/>
      <c r="L202" s="15"/>
      <c r="M202" s="15"/>
      <c r="N202" s="15"/>
      <c r="O202" s="15"/>
      <c r="P202" s="15"/>
      <c r="Q202" s="15"/>
      <c r="R202" s="15"/>
      <c r="S202" s="15"/>
      <c r="T202" s="15"/>
      <c r="U202" s="15"/>
      <c r="V202" s="15"/>
      <c r="W202" s="15"/>
      <c r="X202" s="15"/>
      <c r="Y202" s="15"/>
      <c r="Z202" s="15"/>
    </row>
    <row r="203" ht="12.75" customHeight="1">
      <c r="A203" s="37" t="str">
        <f t="shared" si="2"/>
        <v/>
      </c>
      <c r="B203" s="87" t="s">
        <v>626</v>
      </c>
      <c r="C203" s="41"/>
      <c r="D203" s="41"/>
      <c r="E203" s="41"/>
      <c r="F203" s="41"/>
      <c r="G203" s="41"/>
      <c r="H203" s="84"/>
      <c r="I203" s="62"/>
      <c r="J203" s="63"/>
      <c r="K203" s="63"/>
      <c r="L203" s="15"/>
      <c r="M203" s="15"/>
      <c r="N203" s="15"/>
      <c r="O203" s="15"/>
      <c r="P203" s="15"/>
      <c r="Q203" s="15"/>
      <c r="R203" s="15"/>
      <c r="S203" s="15"/>
      <c r="T203" s="15"/>
      <c r="U203" s="15"/>
      <c r="V203" s="15"/>
      <c r="W203" s="15"/>
      <c r="X203" s="15"/>
      <c r="Y203" s="15"/>
      <c r="Z203" s="15"/>
    </row>
    <row r="204" ht="409.5" customHeight="1">
      <c r="A204" s="37" t="str">
        <f t="shared" si="2"/>
        <v>ST_173</v>
      </c>
      <c r="B204" s="56" t="s">
        <v>35</v>
      </c>
      <c r="C204" s="56" t="s">
        <v>37</v>
      </c>
      <c r="D204" s="56" t="s">
        <v>627</v>
      </c>
      <c r="E204" s="56" t="s">
        <v>461</v>
      </c>
      <c r="F204" s="56" t="s">
        <v>628</v>
      </c>
      <c r="G204" s="56" t="s">
        <v>629</v>
      </c>
      <c r="H204" s="56" t="s">
        <v>630</v>
      </c>
      <c r="I204" s="62"/>
      <c r="J204" s="63"/>
      <c r="K204" s="63"/>
      <c r="L204" s="15"/>
      <c r="M204" s="15"/>
      <c r="N204" s="15"/>
      <c r="O204" s="15"/>
      <c r="P204" s="15"/>
      <c r="Q204" s="15"/>
      <c r="R204" s="15"/>
      <c r="S204" s="15"/>
      <c r="T204" s="15"/>
      <c r="U204" s="15"/>
      <c r="V204" s="15"/>
      <c r="W204" s="15"/>
      <c r="X204" s="15"/>
      <c r="Y204" s="15"/>
      <c r="Z204" s="15"/>
    </row>
    <row r="205" ht="82.5" customHeight="1">
      <c r="A205" s="37" t="str">
        <f t="shared" si="2"/>
        <v>ST_174</v>
      </c>
      <c r="B205" s="56" t="s">
        <v>35</v>
      </c>
      <c r="C205" s="56" t="s">
        <v>37</v>
      </c>
      <c r="D205" s="56" t="s">
        <v>631</v>
      </c>
      <c r="E205" s="56" t="s">
        <v>461</v>
      </c>
      <c r="F205" s="56" t="s">
        <v>632</v>
      </c>
      <c r="G205" s="56" t="s">
        <v>633</v>
      </c>
      <c r="H205" s="56" t="s">
        <v>634</v>
      </c>
      <c r="I205" s="62"/>
      <c r="J205" s="63"/>
      <c r="K205" s="63"/>
      <c r="L205" s="15"/>
      <c r="M205" s="15"/>
      <c r="N205" s="15"/>
      <c r="O205" s="15"/>
      <c r="P205" s="15"/>
      <c r="Q205" s="15"/>
      <c r="R205" s="15"/>
      <c r="S205" s="15"/>
      <c r="T205" s="15"/>
      <c r="U205" s="15"/>
      <c r="V205" s="15"/>
      <c r="W205" s="15"/>
      <c r="X205" s="15"/>
      <c r="Y205" s="15"/>
      <c r="Z205" s="15"/>
    </row>
    <row r="206" ht="75.75" customHeight="1">
      <c r="A206" s="37" t="str">
        <f t="shared" si="2"/>
        <v>ST_175</v>
      </c>
      <c r="B206" s="56" t="s">
        <v>35</v>
      </c>
      <c r="C206" s="56" t="s">
        <v>37</v>
      </c>
      <c r="D206" s="56" t="s">
        <v>635</v>
      </c>
      <c r="E206" s="56" t="s">
        <v>461</v>
      </c>
      <c r="F206" s="56" t="s">
        <v>636</v>
      </c>
      <c r="G206" s="56" t="s">
        <v>637</v>
      </c>
      <c r="H206" s="56" t="s">
        <v>638</v>
      </c>
      <c r="I206" s="62"/>
      <c r="J206" s="63"/>
      <c r="K206" s="63"/>
      <c r="L206" s="15"/>
      <c r="M206" s="15"/>
      <c r="N206" s="15"/>
      <c r="O206" s="15"/>
      <c r="P206" s="15"/>
      <c r="Q206" s="15"/>
      <c r="R206" s="15"/>
      <c r="S206" s="15"/>
      <c r="T206" s="15"/>
      <c r="U206" s="15"/>
      <c r="V206" s="15"/>
      <c r="W206" s="15"/>
      <c r="X206" s="15"/>
      <c r="Y206" s="15"/>
      <c r="Z206" s="15"/>
    </row>
    <row r="207" ht="12.75" customHeight="1">
      <c r="A207" s="37" t="str">
        <f t="shared" si="2"/>
        <v/>
      </c>
      <c r="B207" s="88" t="s">
        <v>639</v>
      </c>
      <c r="C207" s="41"/>
      <c r="D207" s="41"/>
      <c r="E207" s="41"/>
      <c r="F207" s="41"/>
      <c r="G207" s="41"/>
      <c r="H207" s="84"/>
      <c r="I207" s="62"/>
      <c r="J207" s="63"/>
      <c r="K207" s="63"/>
      <c r="L207" s="15"/>
      <c r="M207" s="15"/>
      <c r="N207" s="15"/>
      <c r="O207" s="15"/>
      <c r="P207" s="15"/>
      <c r="Q207" s="15"/>
      <c r="R207" s="15"/>
      <c r="S207" s="15"/>
      <c r="T207" s="15"/>
      <c r="U207" s="15"/>
      <c r="V207" s="15"/>
      <c r="W207" s="15"/>
      <c r="X207" s="15"/>
      <c r="Y207" s="15"/>
      <c r="Z207" s="15"/>
    </row>
    <row r="208" ht="132.75" customHeight="1">
      <c r="A208" s="37" t="str">
        <f t="shared" si="2"/>
        <v>ST_176</v>
      </c>
      <c r="B208" s="56" t="s">
        <v>35</v>
      </c>
      <c r="C208" s="56" t="s">
        <v>37</v>
      </c>
      <c r="D208" s="56" t="s">
        <v>640</v>
      </c>
      <c r="E208" s="56" t="s">
        <v>461</v>
      </c>
      <c r="F208" s="56" t="s">
        <v>641</v>
      </c>
      <c r="G208" s="56" t="s">
        <v>642</v>
      </c>
      <c r="H208" s="56" t="s">
        <v>643</v>
      </c>
      <c r="I208" s="62"/>
      <c r="J208" s="63"/>
      <c r="K208" s="63"/>
      <c r="L208" s="15"/>
      <c r="M208" s="15"/>
      <c r="N208" s="15"/>
      <c r="O208" s="15"/>
      <c r="P208" s="15"/>
      <c r="Q208" s="15"/>
      <c r="R208" s="15"/>
      <c r="S208" s="15"/>
      <c r="T208" s="15"/>
      <c r="U208" s="15"/>
      <c r="V208" s="15"/>
      <c r="W208" s="15"/>
      <c r="X208" s="15"/>
      <c r="Y208" s="15"/>
      <c r="Z208" s="15"/>
    </row>
    <row r="209" ht="132.75" customHeight="1">
      <c r="A209" s="37" t="str">
        <f t="shared" si="2"/>
        <v>ST_177</v>
      </c>
      <c r="B209" s="56" t="s">
        <v>35</v>
      </c>
      <c r="C209" s="56" t="s">
        <v>37</v>
      </c>
      <c r="D209" s="56" t="s">
        <v>644</v>
      </c>
      <c r="E209" s="56" t="s">
        <v>461</v>
      </c>
      <c r="F209" s="56" t="s">
        <v>645</v>
      </c>
      <c r="G209" s="56" t="s">
        <v>646</v>
      </c>
      <c r="H209" s="56" t="s">
        <v>647</v>
      </c>
      <c r="I209" s="62"/>
      <c r="J209" s="63"/>
      <c r="K209" s="63"/>
      <c r="L209" s="15"/>
      <c r="M209" s="15"/>
      <c r="N209" s="15"/>
      <c r="O209" s="15"/>
      <c r="P209" s="15"/>
      <c r="Q209" s="15"/>
      <c r="R209" s="15"/>
      <c r="S209" s="15"/>
      <c r="T209" s="15"/>
      <c r="U209" s="15"/>
      <c r="V209" s="15"/>
      <c r="W209" s="15"/>
      <c r="X209" s="15"/>
      <c r="Y209" s="15"/>
      <c r="Z209" s="15"/>
    </row>
    <row r="210" ht="343.5" customHeight="1">
      <c r="A210" s="37" t="str">
        <f t="shared" si="2"/>
        <v>ST_178</v>
      </c>
      <c r="B210" s="56" t="s">
        <v>35</v>
      </c>
      <c r="C210" s="56" t="s">
        <v>37</v>
      </c>
      <c r="D210" s="56" t="s">
        <v>648</v>
      </c>
      <c r="E210" s="56" t="s">
        <v>649</v>
      </c>
      <c r="F210" s="56" t="s">
        <v>650</v>
      </c>
      <c r="G210" s="56" t="s">
        <v>651</v>
      </c>
      <c r="H210" s="56" t="s">
        <v>652</v>
      </c>
      <c r="I210" s="62"/>
      <c r="J210" s="63"/>
      <c r="K210" s="63"/>
      <c r="L210" s="15"/>
      <c r="M210" s="15"/>
      <c r="N210" s="15"/>
      <c r="O210" s="15"/>
      <c r="P210" s="15"/>
      <c r="Q210" s="15"/>
      <c r="R210" s="15"/>
      <c r="S210" s="15"/>
      <c r="T210" s="15"/>
      <c r="U210" s="15"/>
      <c r="V210" s="15"/>
      <c r="W210" s="15"/>
      <c r="X210" s="15"/>
      <c r="Y210" s="15"/>
      <c r="Z210" s="15"/>
    </row>
    <row r="211" ht="12.75" customHeight="1">
      <c r="A211" s="37" t="str">
        <f t="shared" si="2"/>
        <v>ST_179</v>
      </c>
      <c r="B211" s="58" t="s">
        <v>35</v>
      </c>
      <c r="C211" s="58" t="s">
        <v>37</v>
      </c>
      <c r="D211" s="58" t="s">
        <v>653</v>
      </c>
      <c r="E211" s="56" t="s">
        <v>654</v>
      </c>
      <c r="F211" s="58" t="s">
        <v>655</v>
      </c>
      <c r="G211" s="56" t="s">
        <v>656</v>
      </c>
      <c r="H211" s="56" t="s">
        <v>657</v>
      </c>
      <c r="I211" s="62"/>
      <c r="J211" s="63"/>
      <c r="K211" s="63"/>
      <c r="L211" s="15"/>
      <c r="M211" s="15"/>
      <c r="N211" s="15"/>
      <c r="O211" s="15"/>
      <c r="P211" s="15"/>
      <c r="Q211" s="15"/>
      <c r="R211" s="15"/>
      <c r="S211" s="15"/>
      <c r="T211" s="15"/>
      <c r="U211" s="15"/>
      <c r="V211" s="15"/>
      <c r="W211" s="15"/>
      <c r="X211" s="15"/>
      <c r="Y211" s="15"/>
      <c r="Z211" s="15"/>
    </row>
    <row r="212" ht="12.75" customHeight="1">
      <c r="A212" s="37" t="str">
        <f t="shared" si="2"/>
        <v>ST_180</v>
      </c>
      <c r="B212" s="73"/>
      <c r="C212" s="73"/>
      <c r="D212" s="73"/>
      <c r="E212" s="56"/>
      <c r="F212" s="73"/>
      <c r="G212" s="56" t="s">
        <v>658</v>
      </c>
      <c r="H212" s="56" t="s">
        <v>659</v>
      </c>
      <c r="I212" s="62"/>
      <c r="J212" s="63"/>
      <c r="K212" s="63"/>
      <c r="L212" s="15"/>
      <c r="M212" s="15"/>
      <c r="N212" s="15"/>
      <c r="O212" s="15"/>
      <c r="P212" s="15"/>
      <c r="Q212" s="15"/>
      <c r="R212" s="15"/>
      <c r="S212" s="15"/>
      <c r="T212" s="15"/>
      <c r="U212" s="15"/>
      <c r="V212" s="15"/>
      <c r="W212" s="15"/>
      <c r="X212" s="15"/>
      <c r="Y212" s="15"/>
      <c r="Z212" s="15"/>
    </row>
    <row r="213" ht="12.75" customHeight="1">
      <c r="A213" s="37" t="str">
        <f t="shared" si="2"/>
        <v>ST_181</v>
      </c>
      <c r="B213" s="32"/>
      <c r="C213" s="32"/>
      <c r="D213" s="32"/>
      <c r="E213" s="56" t="s">
        <v>660</v>
      </c>
      <c r="F213" s="32"/>
      <c r="G213" s="56" t="s">
        <v>661</v>
      </c>
      <c r="H213" s="56" t="s">
        <v>659</v>
      </c>
      <c r="I213" s="62"/>
      <c r="J213" s="63"/>
      <c r="K213" s="63"/>
      <c r="L213" s="15"/>
      <c r="M213" s="15"/>
      <c r="N213" s="15"/>
      <c r="O213" s="15"/>
      <c r="P213" s="15"/>
      <c r="Q213" s="15"/>
      <c r="R213" s="15"/>
      <c r="S213" s="15"/>
      <c r="T213" s="15"/>
      <c r="U213" s="15"/>
      <c r="V213" s="15"/>
      <c r="W213" s="15"/>
      <c r="X213" s="15"/>
      <c r="Y213" s="15"/>
      <c r="Z213" s="15"/>
    </row>
    <row r="214" ht="12.75" customHeight="1">
      <c r="A214" s="37" t="str">
        <f t="shared" si="2"/>
        <v/>
      </c>
      <c r="B214" s="87" t="s">
        <v>662</v>
      </c>
      <c r="C214" s="41"/>
      <c r="D214" s="41"/>
      <c r="E214" s="41"/>
      <c r="F214" s="41"/>
      <c r="G214" s="41"/>
      <c r="H214" s="84"/>
      <c r="I214" s="62"/>
      <c r="J214" s="63"/>
      <c r="K214" s="63"/>
      <c r="L214" s="15"/>
      <c r="M214" s="15"/>
      <c r="N214" s="15"/>
      <c r="O214" s="15"/>
      <c r="P214" s="15"/>
      <c r="Q214" s="15"/>
      <c r="R214" s="15"/>
      <c r="S214" s="15"/>
      <c r="T214" s="15"/>
      <c r="U214" s="15"/>
      <c r="V214" s="15"/>
      <c r="W214" s="15"/>
      <c r="X214" s="15"/>
      <c r="Y214" s="15"/>
      <c r="Z214" s="15"/>
    </row>
    <row r="215" ht="76.5" customHeight="1">
      <c r="A215" s="37" t="str">
        <f t="shared" si="2"/>
        <v>ST_182</v>
      </c>
      <c r="B215" s="56" t="s">
        <v>35</v>
      </c>
      <c r="C215" s="56" t="s">
        <v>37</v>
      </c>
      <c r="D215" s="66" t="s">
        <v>663</v>
      </c>
      <c r="E215" s="56" t="s">
        <v>461</v>
      </c>
      <c r="F215" s="66" t="s">
        <v>664</v>
      </c>
      <c r="G215" s="66" t="s">
        <v>665</v>
      </c>
      <c r="H215" s="66" t="s">
        <v>666</v>
      </c>
      <c r="I215" s="62"/>
      <c r="J215" s="63"/>
      <c r="K215" s="63"/>
      <c r="L215" s="15"/>
      <c r="M215" s="15"/>
      <c r="N215" s="15"/>
      <c r="O215" s="15"/>
      <c r="P215" s="15"/>
      <c r="Q215" s="15"/>
      <c r="R215" s="15"/>
      <c r="S215" s="15"/>
      <c r="T215" s="15"/>
      <c r="U215" s="15"/>
      <c r="V215" s="15"/>
      <c r="W215" s="15"/>
      <c r="X215" s="15"/>
      <c r="Y215" s="15"/>
      <c r="Z215" s="15"/>
    </row>
    <row r="216" ht="12.75" customHeight="1">
      <c r="A216" s="37" t="str">
        <f t="shared" si="2"/>
        <v>ST_183</v>
      </c>
      <c r="B216" s="56"/>
      <c r="C216" s="56"/>
      <c r="D216" s="56"/>
      <c r="E216" s="56"/>
      <c r="F216" s="56"/>
      <c r="G216" s="56" t="s">
        <v>667</v>
      </c>
      <c r="H216" s="56" t="s">
        <v>668</v>
      </c>
      <c r="I216" s="62"/>
      <c r="J216" s="63"/>
      <c r="K216" s="63"/>
      <c r="L216" s="15"/>
      <c r="M216" s="15"/>
      <c r="N216" s="15"/>
      <c r="O216" s="15"/>
      <c r="P216" s="15"/>
      <c r="Q216" s="15"/>
      <c r="R216" s="15"/>
      <c r="S216" s="15"/>
      <c r="T216" s="15"/>
      <c r="U216" s="15"/>
      <c r="V216" s="15"/>
      <c r="W216" s="15"/>
      <c r="X216" s="15"/>
      <c r="Y216" s="15"/>
      <c r="Z216" s="15"/>
    </row>
    <row r="217" ht="19.5" customHeight="1">
      <c r="A217" s="37" t="str">
        <f t="shared" si="2"/>
        <v/>
      </c>
      <c r="B217" s="89" t="s">
        <v>669</v>
      </c>
      <c r="C217" s="90"/>
      <c r="D217" s="90"/>
      <c r="E217" s="90"/>
      <c r="F217" s="90"/>
      <c r="G217" s="90"/>
      <c r="H217" s="90"/>
      <c r="I217" s="90"/>
      <c r="J217" s="90"/>
      <c r="K217" s="91"/>
      <c r="L217" s="15"/>
      <c r="M217" s="15"/>
      <c r="N217" s="15"/>
      <c r="O217" s="15"/>
      <c r="P217" s="15"/>
      <c r="Q217" s="15"/>
      <c r="R217" s="15"/>
      <c r="S217" s="15"/>
      <c r="T217" s="15"/>
      <c r="U217" s="15"/>
      <c r="V217" s="15"/>
      <c r="W217" s="15"/>
      <c r="X217" s="15"/>
      <c r="Y217" s="15"/>
      <c r="Z217" s="15"/>
    </row>
    <row r="218" ht="126.75" customHeight="1">
      <c r="A218" s="37" t="str">
        <f t="shared" si="2"/>
        <v>ST_184</v>
      </c>
      <c r="B218" s="56" t="s">
        <v>35</v>
      </c>
      <c r="C218" s="56" t="s">
        <v>37</v>
      </c>
      <c r="D218" s="56" t="s">
        <v>670</v>
      </c>
      <c r="E218" s="56" t="s">
        <v>671</v>
      </c>
      <c r="F218" s="56" t="s">
        <v>672</v>
      </c>
      <c r="G218" s="56" t="s">
        <v>673</v>
      </c>
      <c r="H218" s="19" t="s">
        <v>674</v>
      </c>
      <c r="I218" s="92"/>
      <c r="J218" s="93"/>
      <c r="K218" s="93"/>
      <c r="L218" s="15"/>
      <c r="M218" s="15"/>
      <c r="N218" s="15"/>
      <c r="O218" s="15"/>
      <c r="P218" s="15"/>
      <c r="Q218" s="15"/>
      <c r="R218" s="15"/>
      <c r="S218" s="15"/>
      <c r="T218" s="15"/>
      <c r="U218" s="15"/>
      <c r="V218" s="15"/>
      <c r="W218" s="15"/>
      <c r="X218" s="15"/>
      <c r="Y218" s="15"/>
      <c r="Z218" s="15"/>
    </row>
    <row r="219" ht="12.75" customHeight="1">
      <c r="A219" s="37" t="str">
        <f t="shared" si="2"/>
        <v>ST_185</v>
      </c>
      <c r="B219" s="58" t="s">
        <v>35</v>
      </c>
      <c r="C219" s="58" t="s">
        <v>37</v>
      </c>
      <c r="D219" s="58" t="s">
        <v>675</v>
      </c>
      <c r="E219" s="58" t="s">
        <v>671</v>
      </c>
      <c r="F219" s="58" t="s">
        <v>676</v>
      </c>
      <c r="G219" s="56" t="s">
        <v>677</v>
      </c>
      <c r="H219" s="19" t="s">
        <v>678</v>
      </c>
      <c r="I219" s="92"/>
      <c r="J219" s="93"/>
      <c r="K219" s="93"/>
      <c r="L219" s="15"/>
      <c r="M219" s="15"/>
      <c r="N219" s="15"/>
      <c r="O219" s="15"/>
      <c r="P219" s="15"/>
      <c r="Q219" s="15"/>
      <c r="R219" s="15"/>
      <c r="S219" s="15"/>
      <c r="T219" s="15"/>
      <c r="U219" s="15"/>
      <c r="V219" s="15"/>
      <c r="W219" s="15"/>
      <c r="X219" s="15"/>
      <c r="Y219" s="15"/>
      <c r="Z219" s="15"/>
    </row>
    <row r="220" ht="12.75" customHeight="1">
      <c r="A220" s="37" t="str">
        <f t="shared" si="2"/>
        <v>ST_186</v>
      </c>
      <c r="B220" s="32"/>
      <c r="C220" s="32"/>
      <c r="D220" s="32"/>
      <c r="E220" s="32"/>
      <c r="F220" s="32"/>
      <c r="G220" s="56" t="s">
        <v>679</v>
      </c>
      <c r="H220" s="19" t="s">
        <v>680</v>
      </c>
      <c r="I220" s="92"/>
      <c r="J220" s="93"/>
      <c r="K220" s="93"/>
      <c r="L220" s="15"/>
      <c r="M220" s="15"/>
      <c r="N220" s="15"/>
      <c r="O220" s="15"/>
      <c r="P220" s="15"/>
      <c r="Q220" s="15"/>
      <c r="R220" s="15"/>
      <c r="S220" s="15"/>
      <c r="T220" s="15"/>
      <c r="U220" s="15"/>
      <c r="V220" s="15"/>
      <c r="W220" s="15"/>
      <c r="X220" s="15"/>
      <c r="Y220" s="15"/>
      <c r="Z220" s="15"/>
    </row>
    <row r="221" ht="19.5" customHeight="1">
      <c r="A221" s="37" t="str">
        <f t="shared" si="2"/>
        <v/>
      </c>
      <c r="B221" s="94" t="s">
        <v>681</v>
      </c>
      <c r="C221" s="90"/>
      <c r="D221" s="90"/>
      <c r="E221" s="90"/>
      <c r="F221" s="90"/>
      <c r="G221" s="90"/>
      <c r="H221" s="90"/>
      <c r="I221" s="90"/>
      <c r="J221" s="90"/>
      <c r="K221" s="91"/>
      <c r="L221" s="15"/>
      <c r="M221" s="15"/>
      <c r="N221" s="15"/>
      <c r="O221" s="15"/>
      <c r="P221" s="15"/>
      <c r="Q221" s="15"/>
      <c r="R221" s="15"/>
      <c r="S221" s="15"/>
      <c r="T221" s="15"/>
      <c r="U221" s="15"/>
      <c r="V221" s="15"/>
      <c r="W221" s="15"/>
      <c r="X221" s="15"/>
      <c r="Y221" s="15"/>
      <c r="Z221" s="15"/>
    </row>
    <row r="222" ht="44.25" customHeight="1">
      <c r="A222" s="37" t="str">
        <f t="shared" si="2"/>
        <v>ST_187</v>
      </c>
      <c r="B222" s="68" t="s">
        <v>508</v>
      </c>
      <c r="C222" s="79" t="s">
        <v>189</v>
      </c>
      <c r="D222" s="95" t="s">
        <v>682</v>
      </c>
      <c r="E222" s="68" t="s">
        <v>683</v>
      </c>
      <c r="F222" s="68" t="s">
        <v>684</v>
      </c>
      <c r="G222" s="79" t="s">
        <v>685</v>
      </c>
      <c r="H222" s="93" t="s">
        <v>686</v>
      </c>
      <c r="I222" s="96"/>
      <c r="J222" s="93"/>
      <c r="K222" s="93"/>
      <c r="L222" s="15"/>
      <c r="M222" s="15"/>
      <c r="N222" s="15"/>
      <c r="O222" s="15"/>
      <c r="P222" s="15"/>
      <c r="Q222" s="15"/>
      <c r="R222" s="15"/>
      <c r="S222" s="15"/>
      <c r="T222" s="15"/>
      <c r="U222" s="15"/>
      <c r="V222" s="15"/>
      <c r="W222" s="15"/>
      <c r="X222" s="15"/>
      <c r="Y222" s="15"/>
      <c r="Z222" s="15"/>
    </row>
    <row r="223" ht="12.75" customHeight="1">
      <c r="A223" s="37" t="str">
        <f t="shared" si="2"/>
        <v>ST_188</v>
      </c>
      <c r="B223" s="58" t="s">
        <v>508</v>
      </c>
      <c r="C223" s="56" t="s">
        <v>189</v>
      </c>
      <c r="D223" s="58" t="s">
        <v>687</v>
      </c>
      <c r="E223" s="58" t="s">
        <v>688</v>
      </c>
      <c r="F223" s="58" t="s">
        <v>689</v>
      </c>
      <c r="G223" s="56" t="s">
        <v>690</v>
      </c>
      <c r="H223" s="19" t="s">
        <v>691</v>
      </c>
      <c r="I223" s="97"/>
      <c r="J223" s="19"/>
      <c r="K223" s="19"/>
      <c r="L223" s="15"/>
      <c r="M223" s="15"/>
      <c r="N223" s="15"/>
      <c r="O223" s="15"/>
      <c r="P223" s="15"/>
      <c r="Q223" s="15"/>
      <c r="R223" s="15"/>
      <c r="S223" s="15"/>
      <c r="T223" s="15"/>
      <c r="U223" s="15"/>
      <c r="V223" s="15"/>
      <c r="W223" s="15"/>
      <c r="X223" s="15"/>
      <c r="Y223" s="15"/>
      <c r="Z223" s="15"/>
    </row>
    <row r="224" ht="12.75" customHeight="1">
      <c r="A224" s="37" t="str">
        <f t="shared" si="2"/>
        <v>ST_189</v>
      </c>
      <c r="B224" s="58" t="s">
        <v>508</v>
      </c>
      <c r="C224" s="56" t="s">
        <v>189</v>
      </c>
      <c r="D224" s="58" t="s">
        <v>687</v>
      </c>
      <c r="E224" s="58" t="s">
        <v>692</v>
      </c>
      <c r="F224" s="58" t="s">
        <v>693</v>
      </c>
      <c r="G224" s="56" t="s">
        <v>694</v>
      </c>
      <c r="H224" s="19" t="s">
        <v>695</v>
      </c>
      <c r="I224" s="97"/>
      <c r="J224" s="19"/>
      <c r="K224" s="19"/>
      <c r="L224" s="7"/>
      <c r="M224" s="7"/>
      <c r="N224" s="7"/>
      <c r="O224" s="7"/>
      <c r="P224" s="7"/>
      <c r="Q224" s="7"/>
      <c r="R224" s="7"/>
      <c r="S224" s="7"/>
      <c r="T224" s="7"/>
      <c r="U224" s="7"/>
      <c r="V224" s="7"/>
      <c r="W224" s="7"/>
      <c r="X224" s="7"/>
      <c r="Y224" s="7"/>
      <c r="Z224" s="7"/>
    </row>
    <row r="225" ht="12.75" customHeight="1">
      <c r="A225" s="37" t="str">
        <f t="shared" si="2"/>
        <v>ST_190</v>
      </c>
      <c r="B225" s="58" t="s">
        <v>508</v>
      </c>
      <c r="C225" s="56" t="s">
        <v>189</v>
      </c>
      <c r="D225" s="58" t="s">
        <v>696</v>
      </c>
      <c r="E225" s="58" t="s">
        <v>697</v>
      </c>
      <c r="F225" s="58" t="s">
        <v>698</v>
      </c>
      <c r="G225" s="56" t="s">
        <v>699</v>
      </c>
      <c r="H225" s="19" t="s">
        <v>700</v>
      </c>
      <c r="I225" s="97"/>
      <c r="J225" s="19"/>
      <c r="K225" s="19"/>
      <c r="L225" s="7"/>
      <c r="M225" s="7"/>
      <c r="N225" s="7"/>
      <c r="O225" s="7"/>
      <c r="P225" s="7"/>
      <c r="Q225" s="7"/>
      <c r="R225" s="7"/>
      <c r="S225" s="7"/>
      <c r="T225" s="7"/>
      <c r="U225" s="7"/>
      <c r="V225" s="7"/>
      <c r="W225" s="7"/>
      <c r="X225" s="7"/>
      <c r="Y225" s="7"/>
      <c r="Z225" s="7"/>
    </row>
    <row r="226" ht="12.75" customHeight="1">
      <c r="A226" s="37" t="str">
        <f t="shared" si="2"/>
        <v>ST_191</v>
      </c>
      <c r="B226" s="58" t="s">
        <v>508</v>
      </c>
      <c r="C226" s="56" t="s">
        <v>189</v>
      </c>
      <c r="D226" s="56" t="s">
        <v>701</v>
      </c>
      <c r="E226" s="58" t="s">
        <v>702</v>
      </c>
      <c r="F226" s="56" t="s">
        <v>703</v>
      </c>
      <c r="G226" s="56" t="s">
        <v>704</v>
      </c>
      <c r="H226" s="19" t="s">
        <v>705</v>
      </c>
      <c r="I226" s="97"/>
      <c r="J226" s="19"/>
      <c r="K226" s="19"/>
      <c r="L226" s="7"/>
      <c r="M226" s="7"/>
      <c r="N226" s="7"/>
      <c r="O226" s="7"/>
      <c r="P226" s="7"/>
      <c r="Q226" s="7"/>
      <c r="R226" s="7"/>
      <c r="S226" s="7"/>
      <c r="T226" s="7"/>
      <c r="U226" s="7"/>
      <c r="V226" s="7"/>
      <c r="W226" s="7"/>
      <c r="X226" s="7"/>
      <c r="Y226" s="7"/>
      <c r="Z226" s="7"/>
    </row>
    <row r="227" ht="12.75" customHeight="1">
      <c r="A227" s="37" t="str">
        <f t="shared" si="2"/>
        <v>ST_192</v>
      </c>
      <c r="B227" s="58" t="s">
        <v>508</v>
      </c>
      <c r="C227" s="58" t="s">
        <v>189</v>
      </c>
      <c r="D227" s="58" t="s">
        <v>706</v>
      </c>
      <c r="E227" s="58" t="s">
        <v>707</v>
      </c>
      <c r="F227" s="58" t="s">
        <v>708</v>
      </c>
      <c r="G227" s="56" t="s">
        <v>709</v>
      </c>
      <c r="H227" s="67" t="s">
        <v>710</v>
      </c>
      <c r="I227" s="97"/>
      <c r="J227" s="19"/>
      <c r="K227" s="19"/>
      <c r="L227" s="7"/>
      <c r="M227" s="7"/>
      <c r="N227" s="7"/>
      <c r="O227" s="7"/>
      <c r="P227" s="7"/>
      <c r="Q227" s="7"/>
      <c r="R227" s="7"/>
      <c r="S227" s="7"/>
      <c r="T227" s="7"/>
      <c r="U227" s="7"/>
      <c r="V227" s="7"/>
      <c r="W227" s="7"/>
      <c r="X227" s="7"/>
      <c r="Y227" s="7"/>
      <c r="Z227" s="7"/>
    </row>
    <row r="228" ht="12.75" customHeight="1">
      <c r="A228" s="37" t="str">
        <f t="shared" si="2"/>
        <v>ST_193</v>
      </c>
      <c r="B228" s="32"/>
      <c r="C228" s="32"/>
      <c r="D228" s="32"/>
      <c r="E228" s="32"/>
      <c r="F228" s="32"/>
      <c r="G228" s="56" t="s">
        <v>299</v>
      </c>
      <c r="H228" s="67" t="s">
        <v>711</v>
      </c>
      <c r="I228" s="97"/>
      <c r="J228" s="19"/>
      <c r="K228" s="19"/>
      <c r="L228" s="7"/>
      <c r="M228" s="7"/>
      <c r="N228" s="7"/>
      <c r="O228" s="7"/>
      <c r="P228" s="7"/>
      <c r="Q228" s="7"/>
      <c r="R228" s="7"/>
      <c r="S228" s="7"/>
      <c r="T228" s="7"/>
      <c r="U228" s="7"/>
      <c r="V228" s="7"/>
      <c r="W228" s="7"/>
      <c r="X228" s="7"/>
      <c r="Y228" s="7"/>
      <c r="Z228" s="7"/>
    </row>
    <row r="229" ht="12.75" customHeight="1">
      <c r="A229" s="37" t="str">
        <f t="shared" si="2"/>
        <v>ST_194</v>
      </c>
      <c r="B229" s="56" t="s">
        <v>508</v>
      </c>
      <c r="C229" s="56" t="s">
        <v>189</v>
      </c>
      <c r="D229" s="56" t="s">
        <v>712</v>
      </c>
      <c r="E229" s="56" t="s">
        <v>713</v>
      </c>
      <c r="F229" s="56" t="s">
        <v>714</v>
      </c>
      <c r="G229" s="56" t="s">
        <v>715</v>
      </c>
      <c r="H229" s="19" t="s">
        <v>716</v>
      </c>
      <c r="I229" s="97"/>
      <c r="J229" s="19"/>
      <c r="K229" s="19"/>
      <c r="L229" s="7"/>
      <c r="M229" s="7"/>
      <c r="N229" s="7"/>
      <c r="O229" s="7"/>
      <c r="P229" s="7"/>
      <c r="Q229" s="7"/>
      <c r="R229" s="7"/>
      <c r="S229" s="7"/>
      <c r="T229" s="7"/>
      <c r="U229" s="7"/>
      <c r="V229" s="7"/>
      <c r="W229" s="7"/>
      <c r="X229" s="7"/>
      <c r="Y229" s="7"/>
      <c r="Z229" s="7"/>
    </row>
    <row r="230" ht="12.75" customHeight="1">
      <c r="A230" s="37" t="str">
        <f t="shared" si="2"/>
        <v>ST_195</v>
      </c>
      <c r="B230" s="58" t="s">
        <v>508</v>
      </c>
      <c r="C230" s="56" t="s">
        <v>531</v>
      </c>
      <c r="D230" s="56" t="s">
        <v>717</v>
      </c>
      <c r="E230" s="56" t="s">
        <v>718</v>
      </c>
      <c r="F230" s="56" t="s">
        <v>719</v>
      </c>
      <c r="G230" s="56" t="s">
        <v>720</v>
      </c>
      <c r="H230" s="19" t="s">
        <v>721</v>
      </c>
      <c r="I230" s="97"/>
      <c r="J230" s="19"/>
      <c r="K230" s="19"/>
      <c r="L230" s="7"/>
      <c r="M230" s="7"/>
      <c r="N230" s="7"/>
      <c r="O230" s="7"/>
      <c r="P230" s="7"/>
      <c r="Q230" s="7"/>
      <c r="R230" s="7"/>
      <c r="S230" s="7"/>
      <c r="T230" s="7"/>
      <c r="U230" s="7"/>
      <c r="V230" s="7"/>
      <c r="W230" s="7"/>
      <c r="X230" s="7"/>
      <c r="Y230" s="7"/>
      <c r="Z230" s="7"/>
    </row>
    <row r="231" ht="12.75" customHeight="1">
      <c r="A231" s="37" t="str">
        <f t="shared" si="2"/>
        <v>ST_196</v>
      </c>
      <c r="B231" s="58" t="s">
        <v>508</v>
      </c>
      <c r="C231" s="56" t="s">
        <v>531</v>
      </c>
      <c r="D231" s="56" t="s">
        <v>722</v>
      </c>
      <c r="E231" s="56" t="s">
        <v>723</v>
      </c>
      <c r="F231" s="56" t="s">
        <v>724</v>
      </c>
      <c r="G231" s="56" t="s">
        <v>725</v>
      </c>
      <c r="H231" s="19" t="s">
        <v>726</v>
      </c>
      <c r="I231" s="97"/>
      <c r="J231" s="19"/>
      <c r="K231" s="19"/>
      <c r="L231" s="7"/>
      <c r="M231" s="7"/>
      <c r="N231" s="7"/>
      <c r="O231" s="7"/>
      <c r="P231" s="7"/>
      <c r="Q231" s="7"/>
      <c r="R231" s="7"/>
      <c r="S231" s="7"/>
      <c r="T231" s="7"/>
      <c r="U231" s="7"/>
      <c r="V231" s="7"/>
      <c r="W231" s="7"/>
      <c r="X231" s="7"/>
      <c r="Y231" s="7"/>
      <c r="Z231" s="7"/>
    </row>
    <row r="232" ht="12.75" customHeight="1">
      <c r="A232" s="37" t="str">
        <f t="shared" si="2"/>
        <v>ST_197</v>
      </c>
      <c r="B232" s="58" t="s">
        <v>508</v>
      </c>
      <c r="C232" s="58" t="s">
        <v>531</v>
      </c>
      <c r="D232" s="58" t="s">
        <v>727</v>
      </c>
      <c r="E232" s="58" t="s">
        <v>728</v>
      </c>
      <c r="F232" s="58" t="s">
        <v>729</v>
      </c>
      <c r="G232" s="56" t="s">
        <v>730</v>
      </c>
      <c r="H232" s="67" t="s">
        <v>731</v>
      </c>
      <c r="I232" s="97"/>
      <c r="J232" s="19"/>
      <c r="K232" s="19"/>
      <c r="L232" s="7"/>
      <c r="M232" s="7"/>
      <c r="N232" s="7"/>
      <c r="O232" s="7"/>
      <c r="P232" s="7"/>
      <c r="Q232" s="7"/>
      <c r="R232" s="7"/>
      <c r="S232" s="7"/>
      <c r="T232" s="7"/>
      <c r="U232" s="7"/>
      <c r="V232" s="7"/>
      <c r="W232" s="7"/>
      <c r="X232" s="7"/>
      <c r="Y232" s="7"/>
      <c r="Z232" s="7"/>
    </row>
    <row r="233" ht="12.75" customHeight="1">
      <c r="A233" s="37" t="str">
        <f t="shared" si="2"/>
        <v>ST_198</v>
      </c>
      <c r="B233" s="73"/>
      <c r="C233" s="73"/>
      <c r="D233" s="73"/>
      <c r="E233" s="73"/>
      <c r="F233" s="73"/>
      <c r="G233" s="56" t="s">
        <v>732</v>
      </c>
      <c r="H233" s="19" t="s">
        <v>733</v>
      </c>
      <c r="I233" s="97"/>
      <c r="J233" s="19"/>
      <c r="K233" s="19"/>
      <c r="L233" s="7"/>
      <c r="M233" s="7"/>
      <c r="N233" s="7"/>
      <c r="O233" s="7"/>
      <c r="P233" s="7"/>
      <c r="Q233" s="7"/>
      <c r="R233" s="7"/>
      <c r="S233" s="7"/>
      <c r="T233" s="7"/>
      <c r="U233" s="7"/>
      <c r="V233" s="7"/>
      <c r="W233" s="7"/>
      <c r="X233" s="7"/>
      <c r="Y233" s="7"/>
      <c r="Z233" s="7"/>
    </row>
    <row r="234" ht="12.75" customHeight="1">
      <c r="A234" s="37" t="str">
        <f t="shared" si="2"/>
        <v>ST_199</v>
      </c>
      <c r="B234" s="32"/>
      <c r="C234" s="32"/>
      <c r="D234" s="32"/>
      <c r="E234" s="32"/>
      <c r="F234" s="32"/>
      <c r="G234" s="56" t="s">
        <v>734</v>
      </c>
      <c r="H234" s="19" t="s">
        <v>735</v>
      </c>
      <c r="I234" s="97"/>
      <c r="J234" s="19"/>
      <c r="K234" s="19"/>
      <c r="L234" s="7"/>
      <c r="M234" s="7"/>
      <c r="N234" s="7"/>
      <c r="O234" s="7"/>
      <c r="P234" s="7"/>
      <c r="Q234" s="7"/>
      <c r="R234" s="7"/>
      <c r="S234" s="7"/>
      <c r="T234" s="7"/>
      <c r="U234" s="7"/>
      <c r="V234" s="7"/>
      <c r="W234" s="7"/>
      <c r="X234" s="7"/>
      <c r="Y234" s="7"/>
      <c r="Z234" s="7"/>
    </row>
    <row r="235" ht="12.75" customHeight="1">
      <c r="A235" s="37" t="str">
        <f t="shared" si="2"/>
        <v>ST_200</v>
      </c>
      <c r="B235" s="68" t="s">
        <v>508</v>
      </c>
      <c r="C235" s="68" t="s">
        <v>189</v>
      </c>
      <c r="D235" s="68" t="s">
        <v>736</v>
      </c>
      <c r="E235" s="68" t="s">
        <v>737</v>
      </c>
      <c r="F235" s="68" t="s">
        <v>738</v>
      </c>
      <c r="G235" s="56" t="s">
        <v>739</v>
      </c>
      <c r="H235" s="19" t="s">
        <v>740</v>
      </c>
      <c r="I235" s="97"/>
      <c r="J235" s="19"/>
      <c r="K235" s="19"/>
      <c r="L235" s="7"/>
      <c r="M235" s="7"/>
      <c r="N235" s="7"/>
      <c r="O235" s="7"/>
      <c r="P235" s="7"/>
      <c r="Q235" s="7"/>
      <c r="R235" s="7"/>
      <c r="S235" s="7"/>
      <c r="T235" s="7"/>
      <c r="U235" s="7"/>
      <c r="V235" s="7"/>
      <c r="W235" s="7"/>
      <c r="X235" s="7"/>
      <c r="Y235" s="7"/>
      <c r="Z235" s="7"/>
    </row>
    <row r="236" ht="12.75" customHeight="1">
      <c r="A236" s="37" t="str">
        <f t="shared" si="2"/>
        <v>ST_201</v>
      </c>
      <c r="B236" s="58" t="s">
        <v>508</v>
      </c>
      <c r="C236" s="58" t="s">
        <v>531</v>
      </c>
      <c r="D236" s="58" t="s">
        <v>741</v>
      </c>
      <c r="E236" s="58" t="s">
        <v>742</v>
      </c>
      <c r="F236" s="58" t="s">
        <v>743</v>
      </c>
      <c r="G236" s="56" t="s">
        <v>744</v>
      </c>
      <c r="H236" s="19" t="s">
        <v>745</v>
      </c>
      <c r="I236" s="97"/>
      <c r="J236" s="19"/>
      <c r="K236" s="19"/>
      <c r="L236" s="7"/>
      <c r="M236" s="7"/>
      <c r="N236" s="7"/>
      <c r="O236" s="7"/>
      <c r="P236" s="7"/>
      <c r="Q236" s="7"/>
      <c r="R236" s="7"/>
      <c r="S236" s="7"/>
      <c r="T236" s="7"/>
      <c r="U236" s="7"/>
      <c r="V236" s="7"/>
      <c r="W236" s="7"/>
      <c r="X236" s="7"/>
      <c r="Y236" s="7"/>
      <c r="Z236" s="7"/>
    </row>
    <row r="237" ht="12.75" customHeight="1">
      <c r="A237" s="37" t="str">
        <f t="shared" si="2"/>
        <v>ST_202</v>
      </c>
      <c r="B237" s="73"/>
      <c r="C237" s="73"/>
      <c r="D237" s="73"/>
      <c r="E237" s="73"/>
      <c r="F237" s="73"/>
      <c r="G237" s="56" t="s">
        <v>746</v>
      </c>
      <c r="H237" s="56" t="s">
        <v>747</v>
      </c>
      <c r="I237" s="97"/>
      <c r="J237" s="19"/>
      <c r="K237" s="19"/>
      <c r="L237" s="7"/>
      <c r="M237" s="7"/>
      <c r="N237" s="7"/>
      <c r="O237" s="7"/>
      <c r="P237" s="7"/>
      <c r="Q237" s="7"/>
      <c r="R237" s="7"/>
      <c r="S237" s="7"/>
      <c r="T237" s="7"/>
      <c r="U237" s="7"/>
      <c r="V237" s="7"/>
      <c r="W237" s="7"/>
      <c r="X237" s="7"/>
      <c r="Y237" s="7"/>
      <c r="Z237" s="7"/>
    </row>
    <row r="238" ht="12.75" customHeight="1">
      <c r="A238" s="37" t="str">
        <f t="shared" si="2"/>
        <v>ST_203</v>
      </c>
      <c r="B238" s="73"/>
      <c r="C238" s="73"/>
      <c r="D238" s="73"/>
      <c r="E238" s="73"/>
      <c r="F238" s="73"/>
      <c r="G238" s="56" t="s">
        <v>748</v>
      </c>
      <c r="H238" s="66" t="s">
        <v>749</v>
      </c>
      <c r="I238" s="97"/>
      <c r="J238" s="19"/>
      <c r="K238" s="19"/>
      <c r="L238" s="7"/>
      <c r="M238" s="7"/>
      <c r="N238" s="7"/>
      <c r="O238" s="7"/>
      <c r="P238" s="7"/>
      <c r="Q238" s="7"/>
      <c r="R238" s="7"/>
      <c r="S238" s="7"/>
      <c r="T238" s="7"/>
      <c r="U238" s="7"/>
      <c r="V238" s="7"/>
      <c r="W238" s="7"/>
      <c r="X238" s="7"/>
      <c r="Y238" s="7"/>
      <c r="Z238" s="7"/>
    </row>
    <row r="239" ht="12.75" customHeight="1">
      <c r="A239" s="37" t="str">
        <f t="shared" si="2"/>
        <v>ST_204</v>
      </c>
      <c r="B239" s="73"/>
      <c r="C239" s="73"/>
      <c r="D239" s="73"/>
      <c r="E239" s="73"/>
      <c r="F239" s="73"/>
      <c r="G239" s="56" t="s">
        <v>750</v>
      </c>
      <c r="H239" s="19" t="s">
        <v>733</v>
      </c>
      <c r="I239" s="97"/>
      <c r="J239" s="19"/>
      <c r="K239" s="19"/>
      <c r="L239" s="7"/>
      <c r="M239" s="7"/>
      <c r="N239" s="7"/>
      <c r="O239" s="7"/>
      <c r="P239" s="7"/>
      <c r="Q239" s="7"/>
      <c r="R239" s="7"/>
      <c r="S239" s="7"/>
      <c r="T239" s="7"/>
      <c r="U239" s="7"/>
      <c r="V239" s="7"/>
      <c r="W239" s="7"/>
      <c r="X239" s="7"/>
      <c r="Y239" s="7"/>
      <c r="Z239" s="7"/>
    </row>
    <row r="240" ht="12.75" customHeight="1">
      <c r="A240" s="37" t="str">
        <f t="shared" si="2"/>
        <v>ST_205</v>
      </c>
      <c r="B240" s="32"/>
      <c r="C240" s="32"/>
      <c r="D240" s="32"/>
      <c r="E240" s="32"/>
      <c r="F240" s="32"/>
      <c r="G240" s="56" t="s">
        <v>751</v>
      </c>
      <c r="H240" s="19" t="s">
        <v>752</v>
      </c>
      <c r="I240" s="97"/>
      <c r="J240" s="19"/>
      <c r="K240" s="19"/>
      <c r="L240" s="7"/>
      <c r="M240" s="7"/>
      <c r="N240" s="7"/>
      <c r="O240" s="7"/>
      <c r="P240" s="7"/>
      <c r="Q240" s="7"/>
      <c r="R240" s="7"/>
      <c r="S240" s="7"/>
      <c r="T240" s="7"/>
      <c r="U240" s="7"/>
      <c r="V240" s="7"/>
      <c r="W240" s="7"/>
      <c r="X240" s="7"/>
      <c r="Y240" s="7"/>
      <c r="Z240" s="7"/>
    </row>
    <row r="241" ht="12.75" customHeight="1">
      <c r="A241" s="37" t="str">
        <f t="shared" si="2"/>
        <v>ST_206</v>
      </c>
      <c r="B241" s="56" t="s">
        <v>35</v>
      </c>
      <c r="C241" s="56" t="s">
        <v>37</v>
      </c>
      <c r="D241" s="56" t="s">
        <v>753</v>
      </c>
      <c r="E241" s="56" t="s">
        <v>754</v>
      </c>
      <c r="F241" s="56" t="s">
        <v>755</v>
      </c>
      <c r="G241" s="56" t="s">
        <v>756</v>
      </c>
      <c r="H241" s="56" t="s">
        <v>757</v>
      </c>
      <c r="I241" s="97"/>
      <c r="J241" s="19"/>
      <c r="K241" s="19"/>
      <c r="L241" s="7"/>
      <c r="M241" s="7"/>
      <c r="N241" s="7"/>
      <c r="O241" s="7"/>
      <c r="P241" s="7"/>
      <c r="Q241" s="7"/>
      <c r="R241" s="7"/>
      <c r="S241" s="7"/>
      <c r="T241" s="7"/>
      <c r="U241" s="7"/>
      <c r="V241" s="7"/>
      <c r="W241" s="7"/>
      <c r="X241" s="7"/>
      <c r="Y241" s="7"/>
      <c r="Z241" s="7"/>
    </row>
    <row r="242" ht="12.75" customHeight="1">
      <c r="A242" s="37" t="str">
        <f t="shared" si="2"/>
        <v>ST_207</v>
      </c>
      <c r="B242" s="58" t="s">
        <v>35</v>
      </c>
      <c r="C242" s="56" t="s">
        <v>37</v>
      </c>
      <c r="D242" s="56" t="s">
        <v>758</v>
      </c>
      <c r="E242" s="56" t="s">
        <v>759</v>
      </c>
      <c r="F242" s="56" t="s">
        <v>760</v>
      </c>
      <c r="G242" s="56" t="s">
        <v>761</v>
      </c>
      <c r="H242" s="56" t="s">
        <v>762</v>
      </c>
      <c r="I242" s="97"/>
      <c r="J242" s="19"/>
      <c r="K242" s="19"/>
      <c r="L242" s="7"/>
      <c r="M242" s="7"/>
      <c r="N242" s="7"/>
      <c r="O242" s="7"/>
      <c r="P242" s="7"/>
      <c r="Q242" s="7"/>
      <c r="R242" s="7"/>
      <c r="S242" s="7"/>
      <c r="T242" s="7"/>
      <c r="U242" s="7"/>
      <c r="V242" s="7"/>
      <c r="W242" s="7"/>
      <c r="X242" s="7"/>
      <c r="Y242" s="7"/>
      <c r="Z242" s="7"/>
    </row>
    <row r="243" ht="12.75" customHeight="1">
      <c r="A243" s="37" t="str">
        <f t="shared" si="2"/>
        <v>ST_208</v>
      </c>
      <c r="B243" s="58" t="s">
        <v>35</v>
      </c>
      <c r="C243" s="58" t="s">
        <v>37</v>
      </c>
      <c r="D243" s="58" t="s">
        <v>763</v>
      </c>
      <c r="E243" s="58" t="s">
        <v>764</v>
      </c>
      <c r="F243" s="98" t="s">
        <v>765</v>
      </c>
      <c r="G243" s="58" t="s">
        <v>766</v>
      </c>
      <c r="H243" s="58" t="s">
        <v>767</v>
      </c>
      <c r="I243" s="99"/>
      <c r="J243" s="19"/>
      <c r="K243" s="19"/>
      <c r="L243" s="7"/>
      <c r="M243" s="7"/>
      <c r="N243" s="7"/>
      <c r="O243" s="7"/>
      <c r="P243" s="7"/>
      <c r="Q243" s="7"/>
      <c r="R243" s="7"/>
      <c r="S243" s="7"/>
      <c r="T243" s="7"/>
      <c r="U243" s="7"/>
      <c r="V243" s="7"/>
      <c r="W243" s="7"/>
      <c r="X243" s="7"/>
      <c r="Y243" s="7"/>
      <c r="Z243" s="7"/>
    </row>
    <row r="244" ht="12.75" customHeight="1">
      <c r="A244" s="37" t="str">
        <f t="shared" si="2"/>
        <v>ST_209</v>
      </c>
      <c r="B244" s="73"/>
      <c r="C244" s="73"/>
      <c r="D244" s="73"/>
      <c r="E244" s="73"/>
      <c r="F244" s="100"/>
      <c r="G244" s="56" t="s">
        <v>768</v>
      </c>
      <c r="H244" s="80" t="s">
        <v>769</v>
      </c>
      <c r="I244" s="97"/>
      <c r="J244" s="101"/>
      <c r="K244" s="19"/>
      <c r="L244" s="7"/>
      <c r="M244" s="7"/>
      <c r="N244" s="7"/>
      <c r="O244" s="7"/>
      <c r="P244" s="7"/>
      <c r="Q244" s="7"/>
      <c r="R244" s="7"/>
      <c r="S244" s="7"/>
      <c r="T244" s="7"/>
      <c r="U244" s="7"/>
      <c r="V244" s="7"/>
      <c r="W244" s="7"/>
      <c r="X244" s="7"/>
      <c r="Y244" s="7"/>
      <c r="Z244" s="7"/>
    </row>
    <row r="245" ht="12.75" customHeight="1">
      <c r="A245" s="37" t="str">
        <f t="shared" si="2"/>
        <v>ST_210</v>
      </c>
      <c r="B245" s="32"/>
      <c r="C245" s="32"/>
      <c r="D245" s="32"/>
      <c r="E245" s="32"/>
      <c r="F245" s="102"/>
      <c r="G245" s="56" t="s">
        <v>770</v>
      </c>
      <c r="H245" s="19" t="s">
        <v>686</v>
      </c>
      <c r="I245" s="97"/>
      <c r="J245" s="101"/>
      <c r="K245" s="19"/>
      <c r="L245" s="7"/>
      <c r="M245" s="7"/>
      <c r="N245" s="7"/>
      <c r="O245" s="7"/>
      <c r="P245" s="7"/>
      <c r="Q245" s="7"/>
      <c r="R245" s="7"/>
      <c r="S245" s="7"/>
      <c r="T245" s="7"/>
      <c r="U245" s="7"/>
      <c r="V245" s="7"/>
      <c r="W245" s="7"/>
      <c r="X245" s="7"/>
      <c r="Y245" s="7"/>
      <c r="Z245" s="7"/>
    </row>
    <row r="246" ht="19.5" customHeight="1">
      <c r="A246" s="37" t="str">
        <f t="shared" si="2"/>
        <v/>
      </c>
      <c r="B246" s="103" t="s">
        <v>771</v>
      </c>
      <c r="C246" s="104"/>
      <c r="D246" s="104"/>
      <c r="E246" s="104"/>
      <c r="F246" s="104"/>
      <c r="G246" s="104"/>
      <c r="H246" s="104"/>
      <c r="I246" s="104"/>
      <c r="J246" s="104"/>
      <c r="K246" s="105"/>
      <c r="L246" s="15"/>
      <c r="M246" s="15"/>
      <c r="N246" s="15"/>
      <c r="O246" s="15"/>
      <c r="P246" s="15"/>
      <c r="Q246" s="15"/>
      <c r="R246" s="15"/>
      <c r="S246" s="15"/>
      <c r="T246" s="15"/>
      <c r="U246" s="15"/>
      <c r="V246" s="15"/>
      <c r="W246" s="15"/>
      <c r="X246" s="15"/>
      <c r="Y246" s="15"/>
      <c r="Z246" s="15"/>
    </row>
    <row r="247" ht="12.75" customHeight="1">
      <c r="A247" s="37" t="str">
        <f t="shared" si="2"/>
        <v>ST_211</v>
      </c>
      <c r="B247" s="58" t="s">
        <v>508</v>
      </c>
      <c r="C247" s="56" t="s">
        <v>189</v>
      </c>
      <c r="D247" s="58" t="s">
        <v>772</v>
      </c>
      <c r="E247" s="58" t="s">
        <v>773</v>
      </c>
      <c r="F247" s="58" t="s">
        <v>774</v>
      </c>
      <c r="G247" s="56" t="s">
        <v>775</v>
      </c>
      <c r="H247" s="106" t="s">
        <v>776</v>
      </c>
      <c r="I247" s="97"/>
      <c r="J247" s="19"/>
      <c r="K247" s="19"/>
      <c r="L247" s="15"/>
      <c r="M247" s="15"/>
      <c r="N247" s="15"/>
      <c r="O247" s="15"/>
      <c r="P247" s="15"/>
      <c r="Q247" s="15"/>
      <c r="R247" s="15"/>
      <c r="S247" s="15"/>
      <c r="T247" s="15"/>
      <c r="U247" s="15"/>
      <c r="V247" s="15"/>
      <c r="W247" s="15"/>
      <c r="X247" s="15"/>
      <c r="Y247" s="15"/>
      <c r="Z247" s="15"/>
    </row>
    <row r="248" ht="12.75" customHeight="1">
      <c r="A248" s="37" t="str">
        <f t="shared" si="2"/>
        <v>ST_212</v>
      </c>
      <c r="B248" s="58" t="s">
        <v>508</v>
      </c>
      <c r="C248" s="56" t="s">
        <v>189</v>
      </c>
      <c r="D248" s="58" t="s">
        <v>777</v>
      </c>
      <c r="E248" s="58" t="s">
        <v>778</v>
      </c>
      <c r="F248" s="58" t="s">
        <v>779</v>
      </c>
      <c r="G248" s="56" t="s">
        <v>780</v>
      </c>
      <c r="H248" s="106" t="s">
        <v>781</v>
      </c>
      <c r="I248" s="97"/>
      <c r="J248" s="19"/>
      <c r="K248" s="19"/>
      <c r="L248" s="15"/>
      <c r="M248" s="15"/>
      <c r="N248" s="15"/>
      <c r="O248" s="15"/>
      <c r="P248" s="15"/>
      <c r="Q248" s="15"/>
      <c r="R248" s="15"/>
      <c r="S248" s="15"/>
      <c r="T248" s="15"/>
      <c r="U248" s="15"/>
      <c r="V248" s="15"/>
      <c r="W248" s="15"/>
      <c r="X248" s="15"/>
      <c r="Y248" s="15"/>
      <c r="Z248" s="15"/>
    </row>
    <row r="249" ht="12.75" customHeight="1">
      <c r="A249" s="37" t="str">
        <f t="shared" si="2"/>
        <v>ST_213</v>
      </c>
      <c r="B249" s="58" t="s">
        <v>508</v>
      </c>
      <c r="C249" s="56" t="s">
        <v>189</v>
      </c>
      <c r="D249" s="58" t="s">
        <v>782</v>
      </c>
      <c r="E249" s="58" t="s">
        <v>783</v>
      </c>
      <c r="F249" s="58" t="s">
        <v>784</v>
      </c>
      <c r="G249" s="56" t="s">
        <v>785</v>
      </c>
      <c r="H249" s="106" t="s">
        <v>786</v>
      </c>
      <c r="I249" s="97"/>
      <c r="J249" s="19"/>
      <c r="K249" s="19"/>
      <c r="L249" s="15"/>
      <c r="M249" s="15"/>
      <c r="N249" s="15"/>
      <c r="O249" s="15"/>
      <c r="P249" s="15"/>
      <c r="Q249" s="15"/>
      <c r="R249" s="15"/>
      <c r="S249" s="15"/>
      <c r="T249" s="15"/>
      <c r="U249" s="15"/>
      <c r="V249" s="15"/>
      <c r="W249" s="15"/>
      <c r="X249" s="15"/>
      <c r="Y249" s="15"/>
      <c r="Z249" s="15"/>
    </row>
    <row r="250" ht="12.75" customHeight="1">
      <c r="A250" s="37" t="str">
        <f t="shared" si="2"/>
        <v>ST_214</v>
      </c>
      <c r="B250" s="58" t="s">
        <v>508</v>
      </c>
      <c r="C250" s="56" t="s">
        <v>189</v>
      </c>
      <c r="D250" s="58" t="s">
        <v>782</v>
      </c>
      <c r="E250" s="58" t="s">
        <v>787</v>
      </c>
      <c r="F250" s="58" t="s">
        <v>788</v>
      </c>
      <c r="G250" s="56" t="s">
        <v>789</v>
      </c>
      <c r="H250" s="106" t="s">
        <v>790</v>
      </c>
      <c r="I250" s="97"/>
      <c r="J250" s="19"/>
      <c r="K250" s="19"/>
      <c r="L250" s="15"/>
      <c r="M250" s="15"/>
      <c r="N250" s="15"/>
      <c r="O250" s="15"/>
      <c r="P250" s="15"/>
      <c r="Q250" s="15"/>
      <c r="R250" s="15"/>
      <c r="S250" s="15"/>
      <c r="T250" s="15"/>
      <c r="U250" s="15"/>
      <c r="V250" s="15"/>
      <c r="W250" s="15"/>
      <c r="X250" s="15"/>
      <c r="Y250" s="15"/>
      <c r="Z250" s="15"/>
    </row>
    <row r="251" ht="12.75" customHeight="1">
      <c r="A251" s="37" t="str">
        <f t="shared" si="2"/>
        <v>ST_215</v>
      </c>
      <c r="B251" s="58" t="s">
        <v>508</v>
      </c>
      <c r="C251" s="56" t="s">
        <v>189</v>
      </c>
      <c r="D251" s="58" t="s">
        <v>782</v>
      </c>
      <c r="E251" s="58" t="s">
        <v>791</v>
      </c>
      <c r="F251" s="58" t="s">
        <v>792</v>
      </c>
      <c r="G251" s="56" t="s">
        <v>793</v>
      </c>
      <c r="H251" s="106" t="s">
        <v>794</v>
      </c>
      <c r="I251" s="97"/>
      <c r="J251" s="19"/>
      <c r="K251" s="19"/>
      <c r="L251" s="15"/>
      <c r="M251" s="15"/>
      <c r="N251" s="15"/>
      <c r="O251" s="15"/>
      <c r="P251" s="15"/>
      <c r="Q251" s="15"/>
      <c r="R251" s="15"/>
      <c r="S251" s="15"/>
      <c r="T251" s="15"/>
      <c r="U251" s="15"/>
      <c r="V251" s="15"/>
      <c r="W251" s="15"/>
      <c r="X251" s="15"/>
      <c r="Y251" s="15"/>
      <c r="Z251" s="15"/>
    </row>
    <row r="252" ht="12.75" customHeight="1">
      <c r="A252" s="37" t="str">
        <f t="shared" si="2"/>
        <v>ST_216</v>
      </c>
      <c r="B252" s="58" t="s">
        <v>508</v>
      </c>
      <c r="C252" s="56" t="s">
        <v>189</v>
      </c>
      <c r="D252" s="56" t="s">
        <v>795</v>
      </c>
      <c r="E252" s="58" t="s">
        <v>796</v>
      </c>
      <c r="F252" s="56" t="s">
        <v>797</v>
      </c>
      <c r="G252" s="56" t="s">
        <v>798</v>
      </c>
      <c r="H252" s="106" t="s">
        <v>799</v>
      </c>
      <c r="I252" s="97"/>
      <c r="J252" s="19"/>
      <c r="K252" s="19"/>
      <c r="L252" s="15"/>
      <c r="M252" s="15"/>
      <c r="N252" s="15"/>
      <c r="O252" s="15"/>
      <c r="P252" s="15"/>
      <c r="Q252" s="15"/>
      <c r="R252" s="15"/>
      <c r="S252" s="15"/>
      <c r="T252" s="15"/>
      <c r="U252" s="15"/>
      <c r="V252" s="15"/>
      <c r="W252" s="15"/>
      <c r="X252" s="15"/>
      <c r="Y252" s="15"/>
      <c r="Z252" s="15"/>
    </row>
    <row r="253" ht="63.75" customHeight="1">
      <c r="A253" s="37" t="str">
        <f t="shared" si="2"/>
        <v>ST_217</v>
      </c>
      <c r="B253" s="58" t="s">
        <v>508</v>
      </c>
      <c r="C253" s="58" t="s">
        <v>189</v>
      </c>
      <c r="D253" s="58" t="s">
        <v>800</v>
      </c>
      <c r="E253" s="58" t="s">
        <v>801</v>
      </c>
      <c r="F253" s="58" t="s">
        <v>802</v>
      </c>
      <c r="G253" s="56" t="s">
        <v>803</v>
      </c>
      <c r="H253" s="107" t="s">
        <v>804</v>
      </c>
      <c r="I253" s="97"/>
      <c r="J253" s="19"/>
      <c r="K253" s="19"/>
      <c r="L253" s="15"/>
      <c r="M253" s="15"/>
      <c r="N253" s="15"/>
      <c r="O253" s="15"/>
      <c r="P253" s="15"/>
      <c r="Q253" s="15"/>
      <c r="R253" s="15"/>
      <c r="S253" s="15"/>
      <c r="T253" s="15"/>
      <c r="U253" s="15"/>
      <c r="V253" s="15"/>
      <c r="W253" s="15"/>
      <c r="X253" s="15"/>
      <c r="Y253" s="15"/>
      <c r="Z253" s="15"/>
    </row>
    <row r="254" ht="12.75" customHeight="1">
      <c r="A254" s="37" t="str">
        <f t="shared" si="2"/>
        <v>ST_218</v>
      </c>
      <c r="B254" s="32"/>
      <c r="C254" s="32"/>
      <c r="D254" s="32"/>
      <c r="E254" s="32"/>
      <c r="F254" s="32"/>
      <c r="G254" s="56" t="s">
        <v>805</v>
      </c>
      <c r="H254" s="106" t="s">
        <v>806</v>
      </c>
      <c r="I254" s="97"/>
      <c r="J254" s="19"/>
      <c r="K254" s="19"/>
      <c r="L254" s="15"/>
      <c r="M254" s="15"/>
      <c r="N254" s="15"/>
      <c r="O254" s="15"/>
      <c r="P254" s="15"/>
      <c r="Q254" s="15"/>
      <c r="R254" s="15"/>
      <c r="S254" s="15"/>
      <c r="T254" s="15"/>
      <c r="U254" s="15"/>
      <c r="V254" s="15"/>
      <c r="W254" s="15"/>
      <c r="X254" s="15"/>
      <c r="Y254" s="15"/>
      <c r="Z254" s="15"/>
    </row>
    <row r="255" ht="12.75" customHeight="1">
      <c r="A255" s="37" t="str">
        <f t="shared" si="2"/>
        <v>ST_219</v>
      </c>
      <c r="B255" s="58" t="s">
        <v>508</v>
      </c>
      <c r="C255" s="56" t="s">
        <v>189</v>
      </c>
      <c r="D255" s="56" t="s">
        <v>807</v>
      </c>
      <c r="E255" s="58" t="s">
        <v>808</v>
      </c>
      <c r="F255" s="56" t="s">
        <v>809</v>
      </c>
      <c r="G255" s="56" t="s">
        <v>810</v>
      </c>
      <c r="H255" s="106" t="s">
        <v>811</v>
      </c>
      <c r="I255" s="97"/>
      <c r="J255" s="19"/>
      <c r="K255" s="19"/>
      <c r="L255" s="15"/>
      <c r="M255" s="15"/>
      <c r="N255" s="15"/>
      <c r="O255" s="15"/>
      <c r="P255" s="15"/>
      <c r="Q255" s="15"/>
      <c r="R255" s="15"/>
      <c r="S255" s="15"/>
      <c r="T255" s="15"/>
      <c r="U255" s="15"/>
      <c r="V255" s="15"/>
      <c r="W255" s="15"/>
      <c r="X255" s="15"/>
      <c r="Y255" s="15"/>
      <c r="Z255" s="15"/>
    </row>
    <row r="256" ht="12.75" customHeight="1">
      <c r="A256" s="37" t="str">
        <f t="shared" si="2"/>
        <v>ST_220</v>
      </c>
      <c r="B256" s="56" t="s">
        <v>508</v>
      </c>
      <c r="C256" s="56" t="s">
        <v>531</v>
      </c>
      <c r="D256" s="56" t="s">
        <v>812</v>
      </c>
      <c r="E256" s="56" t="s">
        <v>813</v>
      </c>
      <c r="F256" s="56" t="s">
        <v>814</v>
      </c>
      <c r="G256" s="56" t="s">
        <v>815</v>
      </c>
      <c r="H256" s="19" t="s">
        <v>721</v>
      </c>
      <c r="I256" s="97"/>
      <c r="J256" s="19"/>
      <c r="K256" s="19"/>
      <c r="L256" s="15"/>
      <c r="M256" s="15"/>
      <c r="N256" s="15"/>
      <c r="O256" s="15"/>
      <c r="P256" s="15"/>
      <c r="Q256" s="15"/>
      <c r="R256" s="15"/>
      <c r="S256" s="15"/>
      <c r="T256" s="15"/>
      <c r="U256" s="15"/>
      <c r="V256" s="15"/>
      <c r="W256" s="15"/>
      <c r="X256" s="15"/>
      <c r="Y256" s="15"/>
      <c r="Z256" s="15"/>
    </row>
    <row r="257" ht="12.75" customHeight="1">
      <c r="A257" s="37" t="str">
        <f t="shared" si="2"/>
        <v>ST_221</v>
      </c>
      <c r="B257" s="56" t="s">
        <v>508</v>
      </c>
      <c r="C257" s="56" t="s">
        <v>531</v>
      </c>
      <c r="D257" s="56" t="s">
        <v>816</v>
      </c>
      <c r="E257" s="56" t="s">
        <v>813</v>
      </c>
      <c r="F257" s="56" t="s">
        <v>817</v>
      </c>
      <c r="G257" s="56" t="s">
        <v>725</v>
      </c>
      <c r="H257" s="19" t="s">
        <v>818</v>
      </c>
      <c r="I257" s="97"/>
      <c r="J257" s="19"/>
      <c r="K257" s="19"/>
      <c r="L257" s="15"/>
      <c r="M257" s="15"/>
      <c r="N257" s="15"/>
      <c r="O257" s="15"/>
      <c r="P257" s="15"/>
      <c r="Q257" s="15"/>
      <c r="R257" s="15"/>
      <c r="S257" s="15"/>
      <c r="T257" s="15"/>
      <c r="U257" s="15"/>
      <c r="V257" s="15"/>
      <c r="W257" s="15"/>
      <c r="X257" s="15"/>
      <c r="Y257" s="15"/>
      <c r="Z257" s="15"/>
    </row>
    <row r="258" ht="47.25" customHeight="1">
      <c r="A258" s="37" t="str">
        <f t="shared" si="2"/>
        <v>ST_222</v>
      </c>
      <c r="B258" s="58" t="s">
        <v>508</v>
      </c>
      <c r="C258" s="58" t="s">
        <v>531</v>
      </c>
      <c r="D258" s="58" t="s">
        <v>819</v>
      </c>
      <c r="E258" s="58" t="s">
        <v>813</v>
      </c>
      <c r="F258" s="58" t="s">
        <v>820</v>
      </c>
      <c r="G258" s="56" t="s">
        <v>821</v>
      </c>
      <c r="H258" s="95" t="s">
        <v>822</v>
      </c>
      <c r="I258" s="97"/>
      <c r="J258" s="19"/>
      <c r="K258" s="19"/>
      <c r="L258" s="15"/>
      <c r="M258" s="15"/>
      <c r="N258" s="15"/>
      <c r="O258" s="15"/>
      <c r="P258" s="15"/>
      <c r="Q258" s="15"/>
      <c r="R258" s="15"/>
      <c r="S258" s="15"/>
      <c r="T258" s="15"/>
      <c r="U258" s="15"/>
      <c r="V258" s="15"/>
      <c r="W258" s="15"/>
      <c r="X258" s="15"/>
      <c r="Y258" s="15"/>
      <c r="Z258" s="15"/>
    </row>
    <row r="259" ht="12.75" customHeight="1">
      <c r="A259" s="37" t="str">
        <f t="shared" si="2"/>
        <v>ST_223</v>
      </c>
      <c r="B259" s="32"/>
      <c r="C259" s="32"/>
      <c r="D259" s="32"/>
      <c r="E259" s="32"/>
      <c r="F259" s="32"/>
      <c r="G259" s="56" t="s">
        <v>823</v>
      </c>
      <c r="H259" s="70" t="s">
        <v>824</v>
      </c>
      <c r="I259" s="97"/>
      <c r="J259" s="19"/>
      <c r="K259" s="19"/>
      <c r="L259" s="15"/>
      <c r="M259" s="15"/>
      <c r="N259" s="15"/>
      <c r="O259" s="15"/>
      <c r="P259" s="15"/>
      <c r="Q259" s="15"/>
      <c r="R259" s="15"/>
      <c r="S259" s="15"/>
      <c r="T259" s="15"/>
      <c r="U259" s="15"/>
      <c r="V259" s="15"/>
      <c r="W259" s="15"/>
      <c r="X259" s="15"/>
      <c r="Y259" s="15"/>
      <c r="Z259" s="15"/>
    </row>
    <row r="260" ht="81.0" customHeight="1">
      <c r="A260" s="37" t="str">
        <f t="shared" si="2"/>
        <v>ST_224</v>
      </c>
      <c r="B260" s="58" t="s">
        <v>508</v>
      </c>
      <c r="C260" s="58" t="s">
        <v>531</v>
      </c>
      <c r="D260" s="58" t="s">
        <v>825</v>
      </c>
      <c r="E260" s="58" t="s">
        <v>826</v>
      </c>
      <c r="F260" s="58" t="s">
        <v>827</v>
      </c>
      <c r="G260" s="83" t="s">
        <v>828</v>
      </c>
      <c r="H260" s="56" t="s">
        <v>829</v>
      </c>
      <c r="I260" s="97"/>
      <c r="J260" s="19"/>
      <c r="K260" s="19"/>
      <c r="L260" s="15"/>
      <c r="M260" s="15"/>
      <c r="N260" s="15"/>
      <c r="O260" s="15"/>
      <c r="P260" s="15"/>
      <c r="Q260" s="15"/>
      <c r="R260" s="15"/>
      <c r="S260" s="15"/>
      <c r="T260" s="15"/>
      <c r="U260" s="15"/>
      <c r="V260" s="15"/>
      <c r="W260" s="15"/>
      <c r="X260" s="15"/>
      <c r="Y260" s="15"/>
      <c r="Z260" s="15"/>
    </row>
    <row r="261" ht="57.75" customHeight="1">
      <c r="A261" s="37" t="str">
        <f t="shared" si="2"/>
        <v>ST_225</v>
      </c>
      <c r="B261" s="32"/>
      <c r="C261" s="32"/>
      <c r="D261" s="32"/>
      <c r="E261" s="32"/>
      <c r="F261" s="32"/>
      <c r="G261" s="56" t="s">
        <v>830</v>
      </c>
      <c r="H261" s="93" t="s">
        <v>831</v>
      </c>
      <c r="I261" s="97"/>
      <c r="J261" s="19"/>
      <c r="K261" s="19"/>
      <c r="L261" s="15"/>
      <c r="M261" s="15"/>
      <c r="N261" s="15"/>
      <c r="O261" s="15"/>
      <c r="P261" s="15"/>
      <c r="Q261" s="15"/>
      <c r="R261" s="15"/>
      <c r="S261" s="15"/>
      <c r="T261" s="15"/>
      <c r="U261" s="15"/>
      <c r="V261" s="15"/>
      <c r="W261" s="15"/>
      <c r="X261" s="15"/>
      <c r="Y261" s="15"/>
      <c r="Z261" s="15"/>
    </row>
    <row r="262" ht="116.25" customHeight="1">
      <c r="A262" s="37" t="str">
        <f t="shared" si="2"/>
        <v>ST_226</v>
      </c>
      <c r="B262" s="58" t="s">
        <v>508</v>
      </c>
      <c r="C262" s="58" t="s">
        <v>189</v>
      </c>
      <c r="D262" s="58" t="s">
        <v>832</v>
      </c>
      <c r="E262" s="56" t="s">
        <v>267</v>
      </c>
      <c r="F262" s="58" t="s">
        <v>833</v>
      </c>
      <c r="G262" s="83" t="s">
        <v>834</v>
      </c>
      <c r="H262" s="56" t="s">
        <v>835</v>
      </c>
      <c r="I262" s="97"/>
      <c r="J262" s="19"/>
      <c r="K262" s="19"/>
      <c r="L262" s="15"/>
      <c r="M262" s="15"/>
      <c r="N262" s="15"/>
      <c r="O262" s="15"/>
      <c r="P262" s="15"/>
      <c r="Q262" s="15"/>
      <c r="R262" s="15"/>
      <c r="S262" s="15"/>
      <c r="T262" s="15"/>
      <c r="U262" s="15"/>
      <c r="V262" s="15"/>
      <c r="W262" s="15"/>
      <c r="X262" s="15"/>
      <c r="Y262" s="15"/>
      <c r="Z262" s="15"/>
    </row>
    <row r="263" ht="12.75" customHeight="1">
      <c r="A263" s="37" t="str">
        <f t="shared" si="2"/>
        <v>ST_227</v>
      </c>
      <c r="B263" s="73"/>
      <c r="C263" s="73"/>
      <c r="D263" s="73"/>
      <c r="E263" s="56" t="s">
        <v>836</v>
      </c>
      <c r="F263" s="73"/>
      <c r="G263" s="83" t="s">
        <v>834</v>
      </c>
      <c r="H263" s="56" t="s">
        <v>837</v>
      </c>
      <c r="I263" s="97"/>
      <c r="J263" s="19"/>
      <c r="K263" s="19"/>
      <c r="L263" s="15"/>
      <c r="M263" s="15"/>
      <c r="N263" s="15"/>
      <c r="O263" s="15"/>
      <c r="P263" s="15"/>
      <c r="Q263" s="15"/>
      <c r="R263" s="15"/>
      <c r="S263" s="15"/>
      <c r="T263" s="15"/>
      <c r="U263" s="15"/>
      <c r="V263" s="15"/>
      <c r="W263" s="15"/>
      <c r="X263" s="15"/>
      <c r="Y263" s="15"/>
      <c r="Z263" s="15"/>
    </row>
    <row r="264" ht="12.75" customHeight="1">
      <c r="A264" s="37" t="str">
        <f t="shared" si="2"/>
        <v>ST_228</v>
      </c>
      <c r="B264" s="32"/>
      <c r="C264" s="32"/>
      <c r="D264" s="32"/>
      <c r="E264" s="56" t="s">
        <v>838</v>
      </c>
      <c r="F264" s="32"/>
      <c r="G264" s="83" t="s">
        <v>834</v>
      </c>
      <c r="H264" s="93" t="s">
        <v>839</v>
      </c>
      <c r="I264" s="97"/>
      <c r="J264" s="19"/>
      <c r="K264" s="19"/>
      <c r="L264" s="7"/>
      <c r="M264" s="7"/>
      <c r="N264" s="7"/>
      <c r="O264" s="7"/>
      <c r="P264" s="7"/>
      <c r="Q264" s="7"/>
      <c r="R264" s="7"/>
      <c r="S264" s="7"/>
      <c r="T264" s="7"/>
      <c r="U264" s="7"/>
      <c r="V264" s="7"/>
      <c r="W264" s="7"/>
      <c r="X264" s="7"/>
      <c r="Y264" s="7"/>
      <c r="Z264" s="7"/>
    </row>
    <row r="265" ht="19.5" customHeight="1">
      <c r="A265" s="37" t="str">
        <f t="shared" si="2"/>
        <v/>
      </c>
      <c r="B265" s="89" t="s">
        <v>840</v>
      </c>
      <c r="C265" s="90"/>
      <c r="D265" s="90"/>
      <c r="E265" s="90"/>
      <c r="F265" s="90"/>
      <c r="G265" s="90"/>
      <c r="H265" s="90"/>
      <c r="I265" s="90"/>
      <c r="J265" s="90"/>
      <c r="K265" s="91"/>
      <c r="L265" s="15"/>
      <c r="M265" s="15"/>
      <c r="N265" s="15"/>
      <c r="O265" s="15"/>
      <c r="P265" s="15"/>
      <c r="Q265" s="15"/>
      <c r="R265" s="15"/>
      <c r="S265" s="15"/>
      <c r="T265" s="15"/>
      <c r="U265" s="15"/>
      <c r="V265" s="15"/>
      <c r="W265" s="15"/>
      <c r="X265" s="15"/>
      <c r="Y265" s="15"/>
      <c r="Z265" s="15"/>
    </row>
    <row r="266" ht="163.5" customHeight="1">
      <c r="A266" s="37" t="str">
        <f t="shared" si="2"/>
        <v/>
      </c>
      <c r="B266" s="83" t="s">
        <v>841</v>
      </c>
      <c r="C266" s="41"/>
      <c r="D266" s="41"/>
      <c r="E266" s="41"/>
      <c r="F266" s="41"/>
      <c r="G266" s="41"/>
      <c r="H266" s="84"/>
      <c r="I266" s="62"/>
      <c r="J266" s="63"/>
      <c r="K266" s="63"/>
      <c r="L266" s="15"/>
      <c r="M266" s="15"/>
      <c r="N266" s="15"/>
      <c r="O266" s="15"/>
      <c r="P266" s="15"/>
      <c r="Q266" s="15"/>
      <c r="R266" s="15"/>
      <c r="S266" s="15"/>
      <c r="T266" s="15"/>
      <c r="U266" s="15"/>
      <c r="V266" s="15"/>
      <c r="W266" s="15"/>
      <c r="X266" s="15"/>
      <c r="Y266" s="15"/>
      <c r="Z266" s="15"/>
    </row>
    <row r="267" ht="12.75" customHeight="1">
      <c r="A267" s="37" t="str">
        <f t="shared" si="2"/>
        <v>ST_229</v>
      </c>
      <c r="B267" s="58" t="s">
        <v>842</v>
      </c>
      <c r="C267" s="58" t="s">
        <v>189</v>
      </c>
      <c r="D267" s="58" t="s">
        <v>843</v>
      </c>
      <c r="E267" s="58" t="s">
        <v>844</v>
      </c>
      <c r="F267" s="58" t="s">
        <v>845</v>
      </c>
      <c r="G267" s="56" t="s">
        <v>846</v>
      </c>
      <c r="H267" s="19" t="s">
        <v>847</v>
      </c>
      <c r="I267" s="92"/>
      <c r="J267" s="93"/>
      <c r="K267" s="93"/>
      <c r="L267" s="15"/>
      <c r="M267" s="15"/>
      <c r="N267" s="15"/>
      <c r="O267" s="15"/>
      <c r="P267" s="15"/>
      <c r="Q267" s="15"/>
      <c r="R267" s="15"/>
      <c r="S267" s="15"/>
      <c r="T267" s="15"/>
      <c r="U267" s="15"/>
      <c r="V267" s="15"/>
      <c r="W267" s="15"/>
      <c r="X267" s="15"/>
      <c r="Y267" s="15"/>
      <c r="Z267" s="15"/>
    </row>
    <row r="268" ht="12.75" customHeight="1">
      <c r="A268" s="37" t="str">
        <f t="shared" si="2"/>
        <v>ST_230</v>
      </c>
      <c r="B268" s="73"/>
      <c r="C268" s="73"/>
      <c r="D268" s="73"/>
      <c r="E268" s="73"/>
      <c r="F268" s="73"/>
      <c r="G268" s="56" t="s">
        <v>848</v>
      </c>
      <c r="H268" s="19" t="s">
        <v>849</v>
      </c>
      <c r="I268" s="92"/>
      <c r="J268" s="93"/>
      <c r="K268" s="93"/>
      <c r="L268" s="15"/>
      <c r="M268" s="15"/>
      <c r="N268" s="15"/>
      <c r="O268" s="15"/>
      <c r="P268" s="15"/>
      <c r="Q268" s="15"/>
      <c r="R268" s="15"/>
      <c r="S268" s="15"/>
      <c r="T268" s="15"/>
      <c r="U268" s="15"/>
      <c r="V268" s="15"/>
      <c r="W268" s="15"/>
      <c r="X268" s="15"/>
      <c r="Y268" s="15"/>
      <c r="Z268" s="15"/>
    </row>
    <row r="269" ht="32.25" customHeight="1">
      <c r="A269" s="37" t="str">
        <f t="shared" si="2"/>
        <v>ST_231</v>
      </c>
      <c r="B269" s="32"/>
      <c r="C269" s="32"/>
      <c r="D269" s="32"/>
      <c r="E269" s="32"/>
      <c r="F269" s="32"/>
      <c r="G269" s="56" t="s">
        <v>850</v>
      </c>
      <c r="H269" s="19" t="s">
        <v>851</v>
      </c>
      <c r="I269" s="92"/>
      <c r="J269" s="93"/>
      <c r="K269" s="93"/>
      <c r="L269" s="15"/>
      <c r="M269" s="15"/>
      <c r="N269" s="15"/>
      <c r="O269" s="15"/>
      <c r="P269" s="15"/>
      <c r="Q269" s="15"/>
      <c r="R269" s="15"/>
      <c r="S269" s="15"/>
      <c r="T269" s="15"/>
      <c r="U269" s="15"/>
      <c r="V269" s="15"/>
      <c r="W269" s="15"/>
      <c r="X269" s="15"/>
      <c r="Y269" s="15"/>
      <c r="Z269" s="15"/>
    </row>
    <row r="270" ht="12.75" customHeight="1">
      <c r="A270" s="37" t="str">
        <f t="shared" si="2"/>
        <v>ST_232</v>
      </c>
      <c r="B270" s="58" t="s">
        <v>842</v>
      </c>
      <c r="C270" s="58" t="s">
        <v>189</v>
      </c>
      <c r="D270" s="58" t="s">
        <v>185</v>
      </c>
      <c r="E270" s="58" t="s">
        <v>844</v>
      </c>
      <c r="F270" s="58" t="s">
        <v>852</v>
      </c>
      <c r="G270" s="56" t="s">
        <v>853</v>
      </c>
      <c r="H270" s="67" t="s">
        <v>854</v>
      </c>
      <c r="I270" s="92"/>
      <c r="J270" s="93"/>
      <c r="K270" s="93"/>
      <c r="L270" s="15"/>
      <c r="M270" s="15"/>
      <c r="N270" s="15"/>
      <c r="O270" s="15"/>
      <c r="P270" s="15"/>
      <c r="Q270" s="15"/>
      <c r="R270" s="15"/>
      <c r="S270" s="15"/>
      <c r="T270" s="15"/>
      <c r="U270" s="15"/>
      <c r="V270" s="15"/>
      <c r="W270" s="15"/>
      <c r="X270" s="15"/>
      <c r="Y270" s="15"/>
      <c r="Z270" s="15"/>
    </row>
    <row r="271" ht="12.75" customHeight="1">
      <c r="A271" s="37" t="str">
        <f t="shared" si="2"/>
        <v>ST_233</v>
      </c>
      <c r="B271" s="73"/>
      <c r="C271" s="73"/>
      <c r="D271" s="73"/>
      <c r="E271" s="73"/>
      <c r="F271" s="73"/>
      <c r="G271" s="56" t="s">
        <v>855</v>
      </c>
      <c r="H271" s="67" t="s">
        <v>856</v>
      </c>
      <c r="I271" s="92"/>
      <c r="J271" s="93"/>
      <c r="K271" s="93"/>
      <c r="L271" s="15"/>
      <c r="M271" s="15"/>
      <c r="N271" s="15"/>
      <c r="O271" s="15"/>
      <c r="P271" s="15"/>
      <c r="Q271" s="15"/>
      <c r="R271" s="15"/>
      <c r="S271" s="15"/>
      <c r="T271" s="15"/>
      <c r="U271" s="15"/>
      <c r="V271" s="15"/>
      <c r="W271" s="15"/>
      <c r="X271" s="15"/>
      <c r="Y271" s="15"/>
      <c r="Z271" s="15"/>
    </row>
    <row r="272" ht="98.25" customHeight="1">
      <c r="A272" s="37" t="str">
        <f t="shared" si="2"/>
        <v>ST_234</v>
      </c>
      <c r="B272" s="73"/>
      <c r="C272" s="73"/>
      <c r="D272" s="73"/>
      <c r="E272" s="73"/>
      <c r="F272" s="73"/>
      <c r="G272" s="56" t="s">
        <v>857</v>
      </c>
      <c r="H272" s="19" t="s">
        <v>858</v>
      </c>
      <c r="I272" s="92"/>
      <c r="J272" s="93"/>
      <c r="K272" s="93"/>
      <c r="L272" s="15"/>
      <c r="M272" s="15"/>
      <c r="N272" s="15"/>
      <c r="O272" s="15"/>
      <c r="P272" s="15"/>
      <c r="Q272" s="15"/>
      <c r="R272" s="15"/>
      <c r="S272" s="15"/>
      <c r="T272" s="15"/>
      <c r="U272" s="15"/>
      <c r="V272" s="15"/>
      <c r="W272" s="15"/>
      <c r="X272" s="15"/>
      <c r="Y272" s="15"/>
      <c r="Z272" s="15"/>
    </row>
    <row r="273" ht="12.75" customHeight="1">
      <c r="A273" s="37" t="str">
        <f t="shared" si="2"/>
        <v>ST_235</v>
      </c>
      <c r="B273" s="73"/>
      <c r="C273" s="73"/>
      <c r="D273" s="73"/>
      <c r="E273" s="73"/>
      <c r="F273" s="73"/>
      <c r="G273" s="56" t="s">
        <v>859</v>
      </c>
      <c r="H273" s="19" t="s">
        <v>860</v>
      </c>
      <c r="I273" s="92"/>
      <c r="J273" s="93"/>
      <c r="K273" s="93"/>
      <c r="L273" s="15"/>
      <c r="M273" s="15"/>
      <c r="N273" s="15"/>
      <c r="O273" s="15"/>
      <c r="P273" s="15"/>
      <c r="Q273" s="15"/>
      <c r="R273" s="15"/>
      <c r="S273" s="15"/>
      <c r="T273" s="15"/>
      <c r="U273" s="15"/>
      <c r="V273" s="15"/>
      <c r="W273" s="15"/>
      <c r="X273" s="15"/>
      <c r="Y273" s="15"/>
      <c r="Z273" s="15"/>
    </row>
    <row r="274" ht="12.75" customHeight="1">
      <c r="A274" s="37" t="str">
        <f t="shared" si="2"/>
        <v>ST_236</v>
      </c>
      <c r="B274" s="73"/>
      <c r="C274" s="73"/>
      <c r="D274" s="73"/>
      <c r="E274" s="73"/>
      <c r="F274" s="73"/>
      <c r="G274" s="108" t="s">
        <v>861</v>
      </c>
      <c r="H274" s="67" t="s">
        <v>862</v>
      </c>
      <c r="I274" s="92"/>
      <c r="J274" s="93"/>
      <c r="K274" s="93"/>
      <c r="L274" s="15"/>
      <c r="M274" s="15"/>
      <c r="N274" s="15"/>
      <c r="O274" s="15"/>
      <c r="P274" s="15"/>
      <c r="Q274" s="15"/>
      <c r="R274" s="15"/>
      <c r="S274" s="15"/>
      <c r="T274" s="15"/>
      <c r="U274" s="15"/>
      <c r="V274" s="15"/>
      <c r="W274" s="15"/>
      <c r="X274" s="15"/>
      <c r="Y274" s="15"/>
      <c r="Z274" s="15"/>
    </row>
    <row r="275" ht="12.75" customHeight="1">
      <c r="A275" s="37" t="str">
        <f t="shared" si="2"/>
        <v>ST_237</v>
      </c>
      <c r="B275" s="73"/>
      <c r="C275" s="73"/>
      <c r="D275" s="73"/>
      <c r="E275" s="73"/>
      <c r="F275" s="73"/>
      <c r="G275" s="56" t="s">
        <v>863</v>
      </c>
      <c r="H275" s="19" t="s">
        <v>864</v>
      </c>
      <c r="I275" s="92"/>
      <c r="J275" s="93"/>
      <c r="K275" s="93"/>
      <c r="L275" s="15"/>
      <c r="M275" s="15"/>
      <c r="N275" s="15"/>
      <c r="O275" s="15"/>
      <c r="P275" s="15"/>
      <c r="Q275" s="15"/>
      <c r="R275" s="15"/>
      <c r="S275" s="15"/>
      <c r="T275" s="15"/>
      <c r="U275" s="15"/>
      <c r="V275" s="15"/>
      <c r="W275" s="15"/>
      <c r="X275" s="15"/>
      <c r="Y275" s="15"/>
      <c r="Z275" s="15"/>
    </row>
    <row r="276" ht="12.75" customHeight="1">
      <c r="A276" s="37" t="str">
        <f t="shared" si="2"/>
        <v>ST_238</v>
      </c>
      <c r="B276" s="73"/>
      <c r="C276" s="73"/>
      <c r="D276" s="73"/>
      <c r="E276" s="73"/>
      <c r="F276" s="73"/>
      <c r="G276" s="56" t="s">
        <v>865</v>
      </c>
      <c r="H276" s="19" t="s">
        <v>866</v>
      </c>
      <c r="I276" s="92"/>
      <c r="J276" s="93"/>
      <c r="K276" s="93"/>
      <c r="L276" s="15"/>
      <c r="M276" s="15"/>
      <c r="N276" s="15"/>
      <c r="O276" s="15"/>
      <c r="P276" s="15"/>
      <c r="Q276" s="15"/>
      <c r="R276" s="15"/>
      <c r="S276" s="15"/>
      <c r="T276" s="15"/>
      <c r="U276" s="15"/>
      <c r="V276" s="15"/>
      <c r="W276" s="15"/>
      <c r="X276" s="15"/>
      <c r="Y276" s="15"/>
      <c r="Z276" s="15"/>
    </row>
    <row r="277" ht="12.75" customHeight="1">
      <c r="A277" s="37" t="str">
        <f t="shared" si="2"/>
        <v>ST_239</v>
      </c>
      <c r="B277" s="73"/>
      <c r="C277" s="73"/>
      <c r="D277" s="73"/>
      <c r="E277" s="73"/>
      <c r="F277" s="73"/>
      <c r="G277" s="56" t="s">
        <v>867</v>
      </c>
      <c r="H277" s="19" t="s">
        <v>868</v>
      </c>
      <c r="I277" s="92"/>
      <c r="J277" s="93"/>
      <c r="K277" s="93"/>
      <c r="L277" s="15"/>
      <c r="M277" s="15"/>
      <c r="N277" s="15"/>
      <c r="O277" s="15"/>
      <c r="P277" s="15"/>
      <c r="Q277" s="15"/>
      <c r="R277" s="15"/>
      <c r="S277" s="15"/>
      <c r="T277" s="15"/>
      <c r="U277" s="15"/>
      <c r="V277" s="15"/>
      <c r="W277" s="15"/>
      <c r="X277" s="15"/>
      <c r="Y277" s="15"/>
      <c r="Z277" s="15"/>
    </row>
    <row r="278" ht="12.75" customHeight="1">
      <c r="A278" s="37" t="str">
        <f t="shared" si="2"/>
        <v>ST_240</v>
      </c>
      <c r="B278" s="73"/>
      <c r="C278" s="73"/>
      <c r="D278" s="73"/>
      <c r="E278" s="73"/>
      <c r="F278" s="73"/>
      <c r="G278" s="56" t="s">
        <v>869</v>
      </c>
      <c r="H278" s="19" t="s">
        <v>870</v>
      </c>
      <c r="I278" s="92"/>
      <c r="J278" s="93"/>
      <c r="K278" s="93"/>
      <c r="L278" s="15"/>
      <c r="M278" s="15"/>
      <c r="N278" s="15"/>
      <c r="O278" s="15"/>
      <c r="P278" s="15"/>
      <c r="Q278" s="15"/>
      <c r="R278" s="15"/>
      <c r="S278" s="15"/>
      <c r="T278" s="15"/>
      <c r="U278" s="15"/>
      <c r="V278" s="15"/>
      <c r="W278" s="15"/>
      <c r="X278" s="15"/>
      <c r="Y278" s="15"/>
      <c r="Z278" s="15"/>
    </row>
    <row r="279" ht="12.75" customHeight="1">
      <c r="A279" s="37" t="str">
        <f t="shared" si="2"/>
        <v>ST_241</v>
      </c>
      <c r="B279" s="73"/>
      <c r="C279" s="73"/>
      <c r="D279" s="73"/>
      <c r="E279" s="32"/>
      <c r="F279" s="73"/>
      <c r="G279" s="56" t="s">
        <v>871</v>
      </c>
      <c r="H279" s="19" t="s">
        <v>872</v>
      </c>
      <c r="I279" s="92"/>
      <c r="J279" s="93"/>
      <c r="K279" s="93"/>
      <c r="L279" s="15"/>
      <c r="M279" s="15"/>
      <c r="N279" s="15"/>
      <c r="O279" s="15"/>
      <c r="P279" s="15"/>
      <c r="Q279" s="15"/>
      <c r="R279" s="15"/>
      <c r="S279" s="15"/>
      <c r="T279" s="15"/>
      <c r="U279" s="15"/>
      <c r="V279" s="15"/>
      <c r="W279" s="15"/>
      <c r="X279" s="15"/>
      <c r="Y279" s="15"/>
      <c r="Z279" s="15"/>
    </row>
    <row r="280" ht="12.75" customHeight="1">
      <c r="A280" s="37" t="str">
        <f t="shared" si="2"/>
        <v>ST_242</v>
      </c>
      <c r="B280" s="73"/>
      <c r="C280" s="73"/>
      <c r="D280" s="73"/>
      <c r="E280" s="79" t="s">
        <v>873</v>
      </c>
      <c r="F280" s="73"/>
      <c r="G280" s="56" t="s">
        <v>874</v>
      </c>
      <c r="H280" s="19" t="s">
        <v>875</v>
      </c>
      <c r="I280" s="92"/>
      <c r="J280" s="93"/>
      <c r="K280" s="93"/>
      <c r="L280" s="15"/>
      <c r="M280" s="15"/>
      <c r="N280" s="15"/>
      <c r="O280" s="15"/>
      <c r="P280" s="15"/>
      <c r="Q280" s="15"/>
      <c r="R280" s="15"/>
      <c r="S280" s="15"/>
      <c r="T280" s="15"/>
      <c r="U280" s="15"/>
      <c r="V280" s="15"/>
      <c r="W280" s="15"/>
      <c r="X280" s="15"/>
      <c r="Y280" s="15"/>
      <c r="Z280" s="15"/>
    </row>
    <row r="281" ht="12.75" customHeight="1">
      <c r="A281" s="37" t="str">
        <f t="shared" si="2"/>
        <v>ST_243</v>
      </c>
      <c r="B281" s="32"/>
      <c r="C281" s="32"/>
      <c r="D281" s="32"/>
      <c r="E281" s="79" t="s">
        <v>876</v>
      </c>
      <c r="F281" s="32"/>
      <c r="G281" s="56" t="s">
        <v>877</v>
      </c>
      <c r="H281" s="19" t="s">
        <v>878</v>
      </c>
      <c r="I281" s="92"/>
      <c r="J281" s="93"/>
      <c r="K281" s="93"/>
      <c r="L281" s="15"/>
      <c r="M281" s="15"/>
      <c r="N281" s="15"/>
      <c r="O281" s="15"/>
      <c r="P281" s="15"/>
      <c r="Q281" s="15"/>
      <c r="R281" s="15"/>
      <c r="S281" s="15"/>
      <c r="T281" s="15"/>
      <c r="U281" s="15"/>
      <c r="V281" s="15"/>
      <c r="W281" s="15"/>
      <c r="X281" s="15"/>
      <c r="Y281" s="15"/>
      <c r="Z281" s="15"/>
    </row>
    <row r="282" ht="94.5" customHeight="1">
      <c r="A282" s="37" t="str">
        <f t="shared" si="2"/>
        <v>ST_244</v>
      </c>
      <c r="B282" s="56" t="s">
        <v>842</v>
      </c>
      <c r="C282" s="56" t="s">
        <v>189</v>
      </c>
      <c r="D282" s="56" t="s">
        <v>879</v>
      </c>
      <c r="E282" s="56" t="s">
        <v>844</v>
      </c>
      <c r="F282" s="56" t="s">
        <v>880</v>
      </c>
      <c r="G282" s="56" t="s">
        <v>881</v>
      </c>
      <c r="H282" s="80" t="s">
        <v>882</v>
      </c>
      <c r="I282" s="92"/>
      <c r="J282" s="93"/>
      <c r="K282" s="93"/>
      <c r="L282" s="15"/>
      <c r="M282" s="15"/>
      <c r="N282" s="15"/>
      <c r="O282" s="15"/>
      <c r="P282" s="15"/>
      <c r="Q282" s="15"/>
      <c r="R282" s="15"/>
      <c r="S282" s="15"/>
      <c r="T282" s="15"/>
      <c r="U282" s="15"/>
      <c r="V282" s="15"/>
      <c r="W282" s="15"/>
      <c r="X282" s="15"/>
      <c r="Y282" s="15"/>
      <c r="Z282" s="15"/>
    </row>
    <row r="283" ht="12.75" customHeight="1">
      <c r="A283" s="37" t="str">
        <f t="shared" si="2"/>
        <v>ST_245</v>
      </c>
      <c r="B283" s="56" t="s">
        <v>842</v>
      </c>
      <c r="C283" s="56" t="s">
        <v>189</v>
      </c>
      <c r="D283" s="56" t="s">
        <v>879</v>
      </c>
      <c r="E283" s="56" t="s">
        <v>883</v>
      </c>
      <c r="F283" s="56" t="s">
        <v>880</v>
      </c>
      <c r="G283" s="56" t="s">
        <v>881</v>
      </c>
      <c r="H283" s="80" t="s">
        <v>884</v>
      </c>
      <c r="I283" s="109"/>
      <c r="J283" s="110"/>
      <c r="K283" s="110"/>
      <c r="L283" s="15"/>
      <c r="M283" s="15"/>
      <c r="N283" s="15"/>
      <c r="O283" s="15"/>
      <c r="P283" s="15"/>
      <c r="Q283" s="15"/>
      <c r="R283" s="15"/>
      <c r="S283" s="15"/>
      <c r="T283" s="15"/>
      <c r="U283" s="15"/>
      <c r="V283" s="15"/>
      <c r="W283" s="15"/>
      <c r="X283" s="15"/>
      <c r="Y283" s="15"/>
      <c r="Z283" s="15"/>
    </row>
    <row r="284" ht="12.75" customHeight="1">
      <c r="A284" s="37" t="str">
        <f t="shared" si="2"/>
        <v>ST_246</v>
      </c>
      <c r="B284" s="58" t="s">
        <v>842</v>
      </c>
      <c r="C284" s="58" t="s">
        <v>189</v>
      </c>
      <c r="D284" s="58" t="s">
        <v>885</v>
      </c>
      <c r="E284" s="58" t="s">
        <v>844</v>
      </c>
      <c r="F284" s="58" t="s">
        <v>886</v>
      </c>
      <c r="G284" s="58" t="s">
        <v>887</v>
      </c>
      <c r="H284" s="70" t="s">
        <v>888</v>
      </c>
      <c r="I284" s="111"/>
      <c r="J284" s="70"/>
      <c r="K284" s="70"/>
      <c r="L284" s="15"/>
      <c r="M284" s="15"/>
      <c r="N284" s="15"/>
      <c r="O284" s="15"/>
      <c r="P284" s="15"/>
      <c r="Q284" s="15"/>
      <c r="R284" s="15"/>
      <c r="S284" s="15"/>
      <c r="T284" s="15"/>
      <c r="U284" s="15"/>
      <c r="V284" s="15"/>
      <c r="W284" s="15"/>
      <c r="X284" s="15"/>
      <c r="Y284" s="15"/>
      <c r="Z284" s="15"/>
    </row>
    <row r="285" ht="12.75" customHeight="1">
      <c r="A285" s="37" t="str">
        <f t="shared" si="2"/>
        <v>ST_247</v>
      </c>
      <c r="B285" s="32"/>
      <c r="C285" s="32"/>
      <c r="D285" s="32"/>
      <c r="E285" s="32"/>
      <c r="F285" s="32"/>
      <c r="G285" s="56" t="s">
        <v>889</v>
      </c>
      <c r="H285" s="19" t="s">
        <v>890</v>
      </c>
      <c r="I285" s="97"/>
      <c r="J285" s="19"/>
      <c r="K285" s="19"/>
      <c r="L285" s="15"/>
      <c r="M285" s="15"/>
      <c r="N285" s="15"/>
      <c r="O285" s="15"/>
      <c r="P285" s="15"/>
      <c r="Q285" s="15"/>
      <c r="R285" s="15"/>
      <c r="S285" s="15"/>
      <c r="T285" s="15"/>
      <c r="U285" s="15"/>
      <c r="V285" s="15"/>
      <c r="W285" s="15"/>
      <c r="X285" s="15"/>
      <c r="Y285" s="15"/>
      <c r="Z285" s="15"/>
    </row>
    <row r="286" ht="12.75" customHeight="1">
      <c r="A286" s="37" t="str">
        <f t="shared" si="2"/>
        <v>ST_248</v>
      </c>
      <c r="B286" s="58" t="s">
        <v>842</v>
      </c>
      <c r="C286" s="58" t="s">
        <v>189</v>
      </c>
      <c r="D286" s="58" t="s">
        <v>885</v>
      </c>
      <c r="E286" s="58" t="s">
        <v>844</v>
      </c>
      <c r="F286" s="58" t="s">
        <v>886</v>
      </c>
      <c r="G286" s="58" t="s">
        <v>891</v>
      </c>
      <c r="H286" s="70" t="s">
        <v>888</v>
      </c>
      <c r="I286" s="111"/>
      <c r="J286" s="70"/>
      <c r="K286" s="70"/>
      <c r="L286" s="15"/>
      <c r="M286" s="15"/>
      <c r="N286" s="15"/>
      <c r="O286" s="15"/>
      <c r="P286" s="15"/>
      <c r="Q286" s="15"/>
      <c r="R286" s="15"/>
      <c r="S286" s="15"/>
      <c r="T286" s="15"/>
      <c r="U286" s="15"/>
      <c r="V286" s="15"/>
      <c r="W286" s="15"/>
      <c r="X286" s="15"/>
      <c r="Y286" s="15"/>
      <c r="Z286" s="15"/>
    </row>
    <row r="287" ht="12.75" customHeight="1">
      <c r="A287" s="37" t="str">
        <f t="shared" si="2"/>
        <v>ST_249</v>
      </c>
      <c r="B287" s="32"/>
      <c r="C287" s="32"/>
      <c r="D287" s="32"/>
      <c r="E287" s="32"/>
      <c r="F287" s="32"/>
      <c r="G287" s="56" t="s">
        <v>892</v>
      </c>
      <c r="H287" s="19" t="s">
        <v>893</v>
      </c>
      <c r="I287" s="97"/>
      <c r="J287" s="19"/>
      <c r="K287" s="19"/>
      <c r="L287" s="15"/>
      <c r="M287" s="15"/>
      <c r="N287" s="15"/>
      <c r="O287" s="15"/>
      <c r="P287" s="15"/>
      <c r="Q287" s="15"/>
      <c r="R287" s="15"/>
      <c r="S287" s="15"/>
      <c r="T287" s="15"/>
      <c r="U287" s="15"/>
      <c r="V287" s="15"/>
      <c r="W287" s="15"/>
      <c r="X287" s="15"/>
      <c r="Y287" s="15"/>
      <c r="Z287" s="15"/>
    </row>
    <row r="288" ht="12.75" customHeight="1">
      <c r="A288" s="37" t="str">
        <f t="shared" si="2"/>
        <v>ST_250</v>
      </c>
      <c r="B288" s="58" t="s">
        <v>842</v>
      </c>
      <c r="C288" s="58" t="s">
        <v>189</v>
      </c>
      <c r="D288" s="58" t="s">
        <v>885</v>
      </c>
      <c r="E288" s="58" t="s">
        <v>894</v>
      </c>
      <c r="F288" s="58" t="s">
        <v>886</v>
      </c>
      <c r="G288" s="58" t="s">
        <v>895</v>
      </c>
      <c r="H288" s="70" t="s">
        <v>888</v>
      </c>
      <c r="I288" s="111"/>
      <c r="J288" s="70"/>
      <c r="K288" s="70"/>
      <c r="L288" s="15"/>
      <c r="M288" s="15"/>
      <c r="N288" s="15"/>
      <c r="O288" s="15"/>
      <c r="P288" s="15"/>
      <c r="Q288" s="15"/>
      <c r="R288" s="15"/>
      <c r="S288" s="15"/>
      <c r="T288" s="15"/>
      <c r="U288" s="15"/>
      <c r="V288" s="15"/>
      <c r="W288" s="15"/>
      <c r="X288" s="15"/>
      <c r="Y288" s="15"/>
      <c r="Z288" s="15"/>
    </row>
    <row r="289" ht="12.75" customHeight="1">
      <c r="A289" s="37" t="str">
        <f t="shared" si="2"/>
        <v>ST_251</v>
      </c>
      <c r="B289" s="32"/>
      <c r="C289" s="32"/>
      <c r="D289" s="32"/>
      <c r="E289" s="32"/>
      <c r="F289" s="32"/>
      <c r="G289" s="56" t="s">
        <v>896</v>
      </c>
      <c r="H289" s="19" t="s">
        <v>897</v>
      </c>
      <c r="I289" s="97"/>
      <c r="J289" s="19"/>
      <c r="K289" s="19"/>
      <c r="L289" s="15"/>
      <c r="M289" s="15"/>
      <c r="N289" s="15"/>
      <c r="O289" s="15"/>
      <c r="P289" s="15"/>
      <c r="Q289" s="15"/>
      <c r="R289" s="15"/>
      <c r="S289" s="15"/>
      <c r="T289" s="15"/>
      <c r="U289" s="15"/>
      <c r="V289" s="15"/>
      <c r="W289" s="15"/>
      <c r="X289" s="15"/>
      <c r="Y289" s="15"/>
      <c r="Z289" s="15"/>
    </row>
    <row r="290" ht="12.75" customHeight="1">
      <c r="A290" s="37" t="str">
        <f t="shared" si="2"/>
        <v>ST_252</v>
      </c>
      <c r="B290" s="58" t="s">
        <v>842</v>
      </c>
      <c r="C290" s="58" t="s">
        <v>531</v>
      </c>
      <c r="D290" s="58" t="s">
        <v>898</v>
      </c>
      <c r="E290" s="56" t="s">
        <v>899</v>
      </c>
      <c r="F290" s="58" t="s">
        <v>900</v>
      </c>
      <c r="G290" s="56" t="s">
        <v>901</v>
      </c>
      <c r="H290" s="19" t="s">
        <v>902</v>
      </c>
      <c r="I290" s="97"/>
      <c r="J290" s="19"/>
      <c r="K290" s="19"/>
      <c r="L290" s="15"/>
      <c r="M290" s="15"/>
      <c r="N290" s="15"/>
      <c r="O290" s="15"/>
      <c r="P290" s="15"/>
      <c r="Q290" s="15"/>
      <c r="R290" s="15"/>
      <c r="S290" s="15"/>
      <c r="T290" s="15"/>
      <c r="U290" s="15"/>
      <c r="V290" s="15"/>
      <c r="W290" s="15"/>
      <c r="X290" s="15"/>
      <c r="Y290" s="15"/>
      <c r="Z290" s="15"/>
    </row>
    <row r="291" ht="12.75" customHeight="1">
      <c r="A291" s="37" t="str">
        <f t="shared" si="2"/>
        <v>ST_253</v>
      </c>
      <c r="B291" s="32"/>
      <c r="C291" s="32"/>
      <c r="D291" s="32"/>
      <c r="E291" s="56" t="s">
        <v>903</v>
      </c>
      <c r="F291" s="32"/>
      <c r="G291" s="56" t="s">
        <v>901</v>
      </c>
      <c r="H291" s="19" t="s">
        <v>904</v>
      </c>
      <c r="I291" s="97"/>
      <c r="J291" s="19"/>
      <c r="K291" s="19"/>
      <c r="L291" s="15"/>
      <c r="M291" s="15"/>
      <c r="N291" s="15"/>
      <c r="O291" s="15"/>
      <c r="P291" s="15"/>
      <c r="Q291" s="15"/>
      <c r="R291" s="15"/>
      <c r="S291" s="15"/>
      <c r="T291" s="15"/>
      <c r="U291" s="15"/>
      <c r="V291" s="15"/>
      <c r="W291" s="15"/>
      <c r="X291" s="15"/>
      <c r="Y291" s="15"/>
      <c r="Z291" s="15"/>
    </row>
    <row r="292" ht="12.75" customHeight="1">
      <c r="A292" s="37" t="str">
        <f t="shared" si="2"/>
        <v>ST_254</v>
      </c>
      <c r="B292" s="58" t="s">
        <v>842</v>
      </c>
      <c r="C292" s="58" t="s">
        <v>531</v>
      </c>
      <c r="D292" s="58" t="s">
        <v>905</v>
      </c>
      <c r="E292" s="56" t="s">
        <v>899</v>
      </c>
      <c r="F292" s="58" t="s">
        <v>906</v>
      </c>
      <c r="G292" s="56" t="s">
        <v>907</v>
      </c>
      <c r="H292" s="19" t="s">
        <v>908</v>
      </c>
      <c r="I292" s="97"/>
      <c r="J292" s="19"/>
      <c r="K292" s="19"/>
      <c r="L292" s="15"/>
      <c r="M292" s="15"/>
      <c r="N292" s="15"/>
      <c r="O292" s="15"/>
      <c r="P292" s="15"/>
      <c r="Q292" s="15"/>
      <c r="R292" s="15"/>
      <c r="S292" s="15"/>
      <c r="T292" s="15"/>
      <c r="U292" s="15"/>
      <c r="V292" s="15"/>
      <c r="W292" s="15"/>
      <c r="X292" s="15"/>
      <c r="Y292" s="15"/>
      <c r="Z292" s="15"/>
    </row>
    <row r="293" ht="60.75" customHeight="1">
      <c r="A293" s="37" t="str">
        <f t="shared" si="2"/>
        <v>ST_255</v>
      </c>
      <c r="B293" s="32"/>
      <c r="C293" s="32"/>
      <c r="D293" s="32"/>
      <c r="E293" s="56" t="s">
        <v>909</v>
      </c>
      <c r="F293" s="32"/>
      <c r="G293" s="56" t="s">
        <v>907</v>
      </c>
      <c r="H293" s="19" t="s">
        <v>910</v>
      </c>
      <c r="I293" s="97"/>
      <c r="J293" s="19"/>
      <c r="K293" s="19"/>
      <c r="L293" s="15"/>
      <c r="M293" s="15"/>
      <c r="N293" s="15"/>
      <c r="O293" s="15"/>
      <c r="P293" s="15"/>
      <c r="Q293" s="15"/>
      <c r="R293" s="15"/>
      <c r="S293" s="15"/>
      <c r="T293" s="15"/>
      <c r="U293" s="15"/>
      <c r="V293" s="15"/>
      <c r="W293" s="15"/>
      <c r="X293" s="15"/>
      <c r="Y293" s="15"/>
      <c r="Z293" s="15"/>
    </row>
    <row r="294" ht="60.75" customHeight="1">
      <c r="A294" s="37" t="str">
        <f t="shared" si="2"/>
        <v>ST_256</v>
      </c>
      <c r="B294" s="58" t="s">
        <v>842</v>
      </c>
      <c r="C294" s="58" t="s">
        <v>531</v>
      </c>
      <c r="D294" s="58" t="s">
        <v>911</v>
      </c>
      <c r="E294" s="58" t="s">
        <v>899</v>
      </c>
      <c r="F294" s="58" t="s">
        <v>912</v>
      </c>
      <c r="G294" s="56" t="s">
        <v>913</v>
      </c>
      <c r="H294" s="19" t="s">
        <v>914</v>
      </c>
      <c r="I294" s="97"/>
      <c r="J294" s="19"/>
      <c r="K294" s="19"/>
      <c r="L294" s="15"/>
      <c r="M294" s="15"/>
      <c r="N294" s="15"/>
      <c r="O294" s="15"/>
      <c r="P294" s="15"/>
      <c r="Q294" s="15"/>
      <c r="R294" s="15"/>
      <c r="S294" s="15"/>
      <c r="T294" s="15"/>
      <c r="U294" s="15"/>
      <c r="V294" s="15"/>
      <c r="W294" s="15"/>
      <c r="X294" s="15"/>
      <c r="Y294" s="15"/>
      <c r="Z294" s="15"/>
    </row>
    <row r="295" ht="60.75" customHeight="1">
      <c r="A295" s="37" t="str">
        <f t="shared" si="2"/>
        <v>ST_257</v>
      </c>
      <c r="B295" s="73"/>
      <c r="C295" s="73"/>
      <c r="D295" s="73"/>
      <c r="E295" s="73"/>
      <c r="F295" s="73"/>
      <c r="G295" s="56" t="s">
        <v>915</v>
      </c>
      <c r="H295" s="67" t="s">
        <v>916</v>
      </c>
      <c r="I295" s="97"/>
      <c r="J295" s="19"/>
      <c r="K295" s="19"/>
      <c r="L295" s="15"/>
      <c r="M295" s="15"/>
      <c r="N295" s="15"/>
      <c r="O295" s="15"/>
      <c r="P295" s="15"/>
      <c r="Q295" s="15"/>
      <c r="R295" s="15"/>
      <c r="S295" s="15"/>
      <c r="T295" s="15"/>
      <c r="U295" s="15"/>
      <c r="V295" s="15"/>
      <c r="W295" s="15"/>
      <c r="X295" s="15"/>
      <c r="Y295" s="15"/>
      <c r="Z295" s="15"/>
    </row>
    <row r="296" ht="60.75" customHeight="1">
      <c r="A296" s="37" t="str">
        <f t="shared" si="2"/>
        <v>ST_258</v>
      </c>
      <c r="B296" s="32"/>
      <c r="C296" s="32"/>
      <c r="D296" s="32"/>
      <c r="E296" s="32"/>
      <c r="F296" s="32"/>
      <c r="G296" s="56" t="s">
        <v>917</v>
      </c>
      <c r="H296" s="67" t="s">
        <v>918</v>
      </c>
      <c r="I296" s="97"/>
      <c r="J296" s="19"/>
      <c r="K296" s="19"/>
      <c r="L296" s="15"/>
      <c r="M296" s="15"/>
      <c r="N296" s="15"/>
      <c r="O296" s="15"/>
      <c r="P296" s="15"/>
      <c r="Q296" s="15"/>
      <c r="R296" s="15"/>
      <c r="S296" s="15"/>
      <c r="T296" s="15"/>
      <c r="U296" s="15"/>
      <c r="V296" s="15"/>
      <c r="W296" s="15"/>
      <c r="X296" s="15"/>
      <c r="Y296" s="15"/>
      <c r="Z296" s="15"/>
    </row>
    <row r="297" ht="12.75" customHeight="1">
      <c r="A297" s="37" t="str">
        <f t="shared" si="2"/>
        <v>ST_259</v>
      </c>
      <c r="B297" s="56" t="s">
        <v>842</v>
      </c>
      <c r="C297" s="56" t="s">
        <v>189</v>
      </c>
      <c r="D297" s="56" t="s">
        <v>919</v>
      </c>
      <c r="E297" s="56" t="s">
        <v>844</v>
      </c>
      <c r="F297" s="56" t="s">
        <v>920</v>
      </c>
      <c r="G297" s="56" t="s">
        <v>921</v>
      </c>
      <c r="H297" s="19" t="s">
        <v>922</v>
      </c>
      <c r="I297" s="97"/>
      <c r="J297" s="19"/>
      <c r="K297" s="19"/>
      <c r="L297" s="15"/>
      <c r="M297" s="15"/>
      <c r="N297" s="15"/>
      <c r="O297" s="15"/>
      <c r="P297" s="15"/>
      <c r="Q297" s="15"/>
      <c r="R297" s="15"/>
      <c r="S297" s="15"/>
      <c r="T297" s="15"/>
      <c r="U297" s="15"/>
      <c r="V297" s="15"/>
      <c r="W297" s="15"/>
      <c r="X297" s="15"/>
      <c r="Y297" s="15"/>
      <c r="Z297" s="15"/>
    </row>
    <row r="298" ht="12.75" customHeight="1">
      <c r="A298" s="37" t="str">
        <f t="shared" si="2"/>
        <v>ST_260</v>
      </c>
      <c r="B298" s="58" t="s">
        <v>842</v>
      </c>
      <c r="C298" s="58" t="s">
        <v>531</v>
      </c>
      <c r="D298" s="58" t="s">
        <v>905</v>
      </c>
      <c r="E298" s="56" t="s">
        <v>923</v>
      </c>
      <c r="F298" s="58" t="s">
        <v>906</v>
      </c>
      <c r="G298" s="56" t="s">
        <v>907</v>
      </c>
      <c r="H298" s="19" t="s">
        <v>924</v>
      </c>
      <c r="I298" s="97"/>
      <c r="J298" s="19"/>
      <c r="K298" s="19"/>
      <c r="L298" s="15"/>
      <c r="M298" s="15"/>
      <c r="N298" s="15"/>
      <c r="O298" s="15"/>
      <c r="P298" s="15"/>
      <c r="Q298" s="15"/>
      <c r="R298" s="15"/>
      <c r="S298" s="15"/>
      <c r="T298" s="15"/>
      <c r="U298" s="15"/>
      <c r="V298" s="15"/>
      <c r="W298" s="15"/>
      <c r="X298" s="15"/>
      <c r="Y298" s="15"/>
      <c r="Z298" s="15"/>
    </row>
    <row r="299" ht="12.75" customHeight="1">
      <c r="A299" s="37" t="str">
        <f t="shared" si="2"/>
        <v>ST_261</v>
      </c>
      <c r="B299" s="58" t="s">
        <v>842</v>
      </c>
      <c r="C299" s="58" t="s">
        <v>531</v>
      </c>
      <c r="D299" s="58" t="s">
        <v>911</v>
      </c>
      <c r="E299" s="58" t="s">
        <v>923</v>
      </c>
      <c r="F299" s="58" t="s">
        <v>925</v>
      </c>
      <c r="G299" s="56" t="s">
        <v>926</v>
      </c>
      <c r="H299" s="19" t="s">
        <v>927</v>
      </c>
      <c r="I299" s="97"/>
      <c r="J299" s="19"/>
      <c r="K299" s="19"/>
      <c r="L299" s="15"/>
      <c r="M299" s="15"/>
      <c r="N299" s="15"/>
      <c r="O299" s="15"/>
      <c r="P299" s="15"/>
      <c r="Q299" s="15"/>
      <c r="R299" s="15"/>
      <c r="S299" s="15"/>
      <c r="T299" s="15"/>
      <c r="U299" s="15"/>
      <c r="V299" s="15"/>
      <c r="W299" s="15"/>
      <c r="X299" s="15"/>
      <c r="Y299" s="15"/>
      <c r="Z299" s="15"/>
    </row>
    <row r="300" ht="12.75" customHeight="1">
      <c r="A300" s="37" t="str">
        <f t="shared" si="2"/>
        <v>ST_262</v>
      </c>
      <c r="B300" s="73"/>
      <c r="C300" s="73"/>
      <c r="D300" s="73"/>
      <c r="E300" s="73"/>
      <c r="F300" s="73"/>
      <c r="G300" s="56" t="s">
        <v>915</v>
      </c>
      <c r="H300" s="67" t="s">
        <v>916</v>
      </c>
      <c r="I300" s="97"/>
      <c r="J300" s="19"/>
      <c r="K300" s="19"/>
      <c r="L300" s="15"/>
      <c r="M300" s="15"/>
      <c r="N300" s="15"/>
      <c r="O300" s="15"/>
      <c r="P300" s="15"/>
      <c r="Q300" s="15"/>
      <c r="R300" s="15"/>
      <c r="S300" s="15"/>
      <c r="T300" s="15"/>
      <c r="U300" s="15"/>
      <c r="V300" s="15"/>
      <c r="W300" s="15"/>
      <c r="X300" s="15"/>
      <c r="Y300" s="15"/>
      <c r="Z300" s="15"/>
    </row>
    <row r="301" ht="12.75" customHeight="1">
      <c r="A301" s="37" t="str">
        <f t="shared" si="2"/>
        <v>ST_263</v>
      </c>
      <c r="B301" s="32"/>
      <c r="C301" s="32"/>
      <c r="D301" s="32"/>
      <c r="E301" s="32"/>
      <c r="F301" s="32"/>
      <c r="G301" s="56" t="s">
        <v>917</v>
      </c>
      <c r="H301" s="67" t="s">
        <v>928</v>
      </c>
      <c r="I301" s="97"/>
      <c r="J301" s="19"/>
      <c r="K301" s="19"/>
      <c r="L301" s="15"/>
      <c r="M301" s="15"/>
      <c r="N301" s="15"/>
      <c r="O301" s="15"/>
      <c r="P301" s="15"/>
      <c r="Q301" s="15"/>
      <c r="R301" s="15"/>
      <c r="S301" s="15"/>
      <c r="T301" s="15"/>
      <c r="U301" s="15"/>
      <c r="V301" s="15"/>
      <c r="W301" s="15"/>
      <c r="X301" s="15"/>
      <c r="Y301" s="15"/>
      <c r="Z301" s="15"/>
    </row>
    <row r="302" ht="12.75" customHeight="1">
      <c r="A302" s="37" t="str">
        <f t="shared" si="2"/>
        <v>ST_264</v>
      </c>
      <c r="B302" s="56" t="s">
        <v>842</v>
      </c>
      <c r="C302" s="56" t="s">
        <v>189</v>
      </c>
      <c r="D302" s="56" t="s">
        <v>919</v>
      </c>
      <c r="E302" s="56" t="s">
        <v>844</v>
      </c>
      <c r="F302" s="56" t="s">
        <v>920</v>
      </c>
      <c r="G302" s="56" t="s">
        <v>929</v>
      </c>
      <c r="H302" s="19" t="s">
        <v>930</v>
      </c>
      <c r="I302" s="97"/>
      <c r="J302" s="19"/>
      <c r="K302" s="19"/>
      <c r="L302" s="15"/>
      <c r="M302" s="15"/>
      <c r="N302" s="15"/>
      <c r="O302" s="15"/>
      <c r="P302" s="15"/>
      <c r="Q302" s="15"/>
      <c r="R302" s="15"/>
      <c r="S302" s="15"/>
      <c r="T302" s="15"/>
      <c r="U302" s="15"/>
      <c r="V302" s="15"/>
      <c r="W302" s="15"/>
      <c r="X302" s="15"/>
      <c r="Y302" s="15"/>
      <c r="Z302" s="15"/>
    </row>
    <row r="303" ht="12.75" customHeight="1">
      <c r="A303" s="37" t="str">
        <f t="shared" si="2"/>
        <v>ST_265</v>
      </c>
      <c r="B303" s="56" t="s">
        <v>842</v>
      </c>
      <c r="C303" s="56" t="s">
        <v>37</v>
      </c>
      <c r="D303" s="56" t="s">
        <v>931</v>
      </c>
      <c r="E303" s="56" t="s">
        <v>932</v>
      </c>
      <c r="F303" s="56" t="s">
        <v>933</v>
      </c>
      <c r="G303" s="56" t="s">
        <v>907</v>
      </c>
      <c r="H303" s="19" t="s">
        <v>934</v>
      </c>
      <c r="I303" s="97"/>
      <c r="J303" s="19"/>
      <c r="K303" s="19"/>
      <c r="L303" s="15"/>
      <c r="M303" s="15"/>
      <c r="N303" s="15"/>
      <c r="O303" s="15"/>
      <c r="P303" s="15"/>
      <c r="Q303" s="15"/>
      <c r="R303" s="15"/>
      <c r="S303" s="15"/>
      <c r="T303" s="15"/>
      <c r="U303" s="15"/>
      <c r="V303" s="15"/>
      <c r="W303" s="15"/>
      <c r="X303" s="15"/>
      <c r="Y303" s="15"/>
      <c r="Z303" s="15"/>
    </row>
    <row r="304" ht="12.75" customHeight="1">
      <c r="A304" s="37" t="str">
        <f t="shared" si="2"/>
        <v>ST_266</v>
      </c>
      <c r="B304" s="56" t="s">
        <v>842</v>
      </c>
      <c r="C304" s="56" t="s">
        <v>37</v>
      </c>
      <c r="D304" s="56" t="s">
        <v>843</v>
      </c>
      <c r="E304" s="56" t="s">
        <v>932</v>
      </c>
      <c r="F304" s="56" t="s">
        <v>935</v>
      </c>
      <c r="G304" s="56" t="s">
        <v>901</v>
      </c>
      <c r="H304" s="80" t="s">
        <v>936</v>
      </c>
      <c r="I304" s="97"/>
      <c r="J304" s="19"/>
      <c r="K304" s="19"/>
      <c r="L304" s="15"/>
      <c r="M304" s="15"/>
      <c r="N304" s="15"/>
      <c r="O304" s="15"/>
      <c r="P304" s="15"/>
      <c r="Q304" s="15"/>
      <c r="R304" s="15"/>
      <c r="S304" s="15"/>
      <c r="T304" s="15"/>
      <c r="U304" s="15"/>
      <c r="V304" s="15"/>
      <c r="W304" s="15"/>
      <c r="X304" s="15"/>
      <c r="Y304" s="15"/>
      <c r="Z304" s="15"/>
    </row>
    <row r="305" ht="12.75" customHeight="1">
      <c r="A305" s="37" t="str">
        <f t="shared" si="2"/>
        <v>ST_267</v>
      </c>
      <c r="B305" s="56"/>
      <c r="C305" s="56"/>
      <c r="D305" s="56"/>
      <c r="E305" s="56"/>
      <c r="F305" s="56"/>
      <c r="G305" s="56" t="s">
        <v>937</v>
      </c>
      <c r="H305" s="19" t="s">
        <v>938</v>
      </c>
      <c r="I305" s="97"/>
      <c r="J305" s="19"/>
      <c r="K305" s="19"/>
      <c r="L305" s="15"/>
      <c r="M305" s="15"/>
      <c r="N305" s="15"/>
      <c r="O305" s="15"/>
      <c r="P305" s="15"/>
      <c r="Q305" s="15"/>
      <c r="R305" s="15"/>
      <c r="S305" s="15"/>
      <c r="T305" s="15"/>
      <c r="U305" s="15"/>
      <c r="V305" s="15"/>
      <c r="W305" s="15"/>
      <c r="X305" s="15"/>
      <c r="Y305" s="15"/>
      <c r="Z305" s="15"/>
    </row>
    <row r="306" ht="60.75" customHeight="1">
      <c r="A306" s="37" t="str">
        <f t="shared" si="2"/>
        <v/>
      </c>
      <c r="B306" s="56"/>
      <c r="C306" s="56"/>
      <c r="D306" s="56"/>
      <c r="E306" s="56"/>
      <c r="F306" s="56"/>
      <c r="G306" s="56"/>
      <c r="H306" s="19"/>
      <c r="I306" s="97"/>
      <c r="J306" s="19"/>
      <c r="K306" s="19"/>
      <c r="L306" s="15"/>
      <c r="M306" s="15"/>
      <c r="N306" s="15"/>
      <c r="O306" s="15"/>
      <c r="P306" s="15"/>
      <c r="Q306" s="15"/>
      <c r="R306" s="15"/>
      <c r="S306" s="15"/>
      <c r="T306" s="15"/>
      <c r="U306" s="15"/>
      <c r="V306" s="15"/>
      <c r="W306" s="15"/>
      <c r="X306" s="15"/>
      <c r="Y306" s="15"/>
      <c r="Z306" s="15"/>
    </row>
    <row r="307" ht="19.5" customHeight="1">
      <c r="A307" s="37" t="str">
        <f t="shared" si="2"/>
        <v/>
      </c>
      <c r="B307" s="89" t="s">
        <v>939</v>
      </c>
      <c r="C307" s="90"/>
      <c r="D307" s="90"/>
      <c r="E307" s="90"/>
      <c r="F307" s="90"/>
      <c r="G307" s="90"/>
      <c r="H307" s="90"/>
      <c r="I307" s="90"/>
      <c r="J307" s="90"/>
      <c r="K307" s="91"/>
      <c r="L307" s="15"/>
      <c r="M307" s="15"/>
      <c r="N307" s="15"/>
      <c r="O307" s="15"/>
      <c r="P307" s="15"/>
      <c r="Q307" s="15"/>
      <c r="R307" s="15"/>
      <c r="S307" s="15"/>
      <c r="T307" s="15"/>
      <c r="U307" s="15"/>
      <c r="V307" s="15"/>
      <c r="W307" s="15"/>
      <c r="X307" s="15"/>
      <c r="Y307" s="15"/>
      <c r="Z307" s="15"/>
    </row>
    <row r="308" ht="28.5" customHeight="1">
      <c r="A308" s="37" t="str">
        <f t="shared" si="2"/>
        <v/>
      </c>
      <c r="B308" s="83" t="s">
        <v>940</v>
      </c>
      <c r="C308" s="41"/>
      <c r="D308" s="41"/>
      <c r="E308" s="41"/>
      <c r="F308" s="41"/>
      <c r="G308" s="41"/>
      <c r="H308" s="84"/>
      <c r="I308" s="62"/>
      <c r="J308" s="63"/>
      <c r="K308" s="63"/>
      <c r="L308" s="15"/>
      <c r="M308" s="15"/>
      <c r="N308" s="15"/>
      <c r="O308" s="15"/>
      <c r="P308" s="15"/>
      <c r="Q308" s="15"/>
      <c r="R308" s="15"/>
      <c r="S308" s="15"/>
      <c r="T308" s="15"/>
      <c r="U308" s="15"/>
      <c r="V308" s="15"/>
      <c r="W308" s="15"/>
      <c r="X308" s="15"/>
      <c r="Y308" s="15"/>
      <c r="Z308" s="15"/>
    </row>
    <row r="309" ht="12.75" customHeight="1">
      <c r="A309" s="37" t="str">
        <f t="shared" si="2"/>
        <v>ST_268</v>
      </c>
      <c r="B309" s="58" t="s">
        <v>842</v>
      </c>
      <c r="C309" s="58" t="s">
        <v>189</v>
      </c>
      <c r="D309" s="58" t="s">
        <v>941</v>
      </c>
      <c r="E309" s="58" t="s">
        <v>844</v>
      </c>
      <c r="F309" s="58" t="s">
        <v>942</v>
      </c>
      <c r="G309" s="56" t="s">
        <v>943</v>
      </c>
      <c r="H309" s="19" t="s">
        <v>944</v>
      </c>
      <c r="I309" s="92"/>
      <c r="J309" s="93"/>
      <c r="K309" s="93"/>
      <c r="L309" s="15"/>
      <c r="M309" s="15"/>
      <c r="N309" s="15"/>
      <c r="O309" s="15"/>
      <c r="P309" s="15"/>
      <c r="Q309" s="15"/>
      <c r="R309" s="15"/>
      <c r="S309" s="15"/>
      <c r="T309" s="15"/>
      <c r="U309" s="15"/>
      <c r="V309" s="15"/>
      <c r="W309" s="15"/>
      <c r="X309" s="15"/>
      <c r="Y309" s="15"/>
      <c r="Z309" s="15"/>
    </row>
    <row r="310" ht="12.75" customHeight="1">
      <c r="A310" s="37" t="str">
        <f t="shared" si="2"/>
        <v>ST_269</v>
      </c>
      <c r="B310" s="32"/>
      <c r="C310" s="32"/>
      <c r="D310" s="32"/>
      <c r="E310" s="32"/>
      <c r="F310" s="32"/>
      <c r="G310" s="56" t="s">
        <v>945</v>
      </c>
      <c r="H310" s="19" t="s">
        <v>946</v>
      </c>
      <c r="I310" s="92"/>
      <c r="J310" s="93"/>
      <c r="K310" s="93"/>
      <c r="L310" s="15"/>
      <c r="M310" s="15"/>
      <c r="N310" s="15"/>
      <c r="O310" s="15"/>
      <c r="P310" s="15"/>
      <c r="Q310" s="15"/>
      <c r="R310" s="15"/>
      <c r="S310" s="15"/>
      <c r="T310" s="15"/>
      <c r="U310" s="15"/>
      <c r="V310" s="15"/>
      <c r="W310" s="15"/>
      <c r="X310" s="15"/>
      <c r="Y310" s="15"/>
      <c r="Z310" s="15"/>
    </row>
    <row r="311" ht="65.25" customHeight="1">
      <c r="A311" s="37" t="str">
        <f t="shared" si="2"/>
        <v>ST_270</v>
      </c>
      <c r="B311" s="58" t="s">
        <v>842</v>
      </c>
      <c r="C311" s="58" t="s">
        <v>189</v>
      </c>
      <c r="D311" s="58" t="s">
        <v>947</v>
      </c>
      <c r="E311" s="58" t="s">
        <v>844</v>
      </c>
      <c r="F311" s="58" t="s">
        <v>948</v>
      </c>
      <c r="G311" s="56" t="s">
        <v>949</v>
      </c>
      <c r="H311" s="19" t="s">
        <v>950</v>
      </c>
      <c r="I311" s="92"/>
      <c r="J311" s="93"/>
      <c r="K311" s="93"/>
      <c r="L311" s="15"/>
      <c r="M311" s="15"/>
      <c r="N311" s="15"/>
      <c r="O311" s="15"/>
      <c r="P311" s="15"/>
      <c r="Q311" s="15"/>
      <c r="R311" s="15"/>
      <c r="S311" s="15"/>
      <c r="T311" s="15"/>
      <c r="U311" s="15"/>
      <c r="V311" s="15"/>
      <c r="W311" s="15"/>
      <c r="X311" s="15"/>
      <c r="Y311" s="15"/>
      <c r="Z311" s="15"/>
    </row>
    <row r="312" ht="12.75" customHeight="1">
      <c r="A312" s="37" t="str">
        <f t="shared" si="2"/>
        <v>ST_271</v>
      </c>
      <c r="B312" s="73"/>
      <c r="C312" s="73"/>
      <c r="D312" s="73"/>
      <c r="E312" s="73"/>
      <c r="F312" s="32"/>
      <c r="G312" s="56" t="s">
        <v>951</v>
      </c>
      <c r="H312" s="19" t="s">
        <v>952</v>
      </c>
      <c r="I312" s="92"/>
      <c r="J312" s="93"/>
      <c r="K312" s="93"/>
      <c r="L312" s="15"/>
      <c r="M312" s="15"/>
      <c r="N312" s="15"/>
      <c r="O312" s="15"/>
      <c r="P312" s="15"/>
      <c r="Q312" s="15"/>
      <c r="R312" s="15"/>
      <c r="S312" s="15"/>
      <c r="T312" s="15"/>
      <c r="U312" s="15"/>
      <c r="V312" s="15"/>
      <c r="W312" s="15"/>
      <c r="X312" s="15"/>
      <c r="Y312" s="15"/>
      <c r="Z312" s="15"/>
    </row>
    <row r="313" ht="12.75" customHeight="1">
      <c r="A313" s="37" t="str">
        <f t="shared" si="2"/>
        <v>ST_272</v>
      </c>
      <c r="B313" s="32"/>
      <c r="C313" s="32"/>
      <c r="D313" s="32"/>
      <c r="E313" s="32"/>
      <c r="F313" s="58" t="s">
        <v>953</v>
      </c>
      <c r="G313" s="56" t="s">
        <v>954</v>
      </c>
      <c r="H313" s="19" t="s">
        <v>955</v>
      </c>
      <c r="I313" s="92"/>
      <c r="J313" s="93"/>
      <c r="K313" s="93"/>
      <c r="L313" s="15"/>
      <c r="M313" s="15"/>
      <c r="N313" s="15"/>
      <c r="O313" s="15"/>
      <c r="P313" s="15"/>
      <c r="Q313" s="15"/>
      <c r="R313" s="15"/>
      <c r="S313" s="15"/>
      <c r="T313" s="15"/>
      <c r="U313" s="15"/>
      <c r="V313" s="15"/>
      <c r="W313" s="15"/>
      <c r="X313" s="15"/>
      <c r="Y313" s="15"/>
      <c r="Z313" s="15"/>
    </row>
    <row r="314" ht="12.75" customHeight="1">
      <c r="A314" s="37" t="str">
        <f t="shared" si="2"/>
        <v>ST_273</v>
      </c>
      <c r="B314" s="58" t="s">
        <v>842</v>
      </c>
      <c r="C314" s="58" t="s">
        <v>189</v>
      </c>
      <c r="D314" s="58" t="s">
        <v>947</v>
      </c>
      <c r="E314" s="58" t="s">
        <v>844</v>
      </c>
      <c r="F314" s="58" t="s">
        <v>956</v>
      </c>
      <c r="G314" s="56" t="s">
        <v>957</v>
      </c>
      <c r="H314" s="19" t="s">
        <v>958</v>
      </c>
      <c r="I314" s="92"/>
      <c r="J314" s="93"/>
      <c r="K314" s="93"/>
      <c r="L314" s="15"/>
      <c r="M314" s="15"/>
      <c r="N314" s="15"/>
      <c r="O314" s="15"/>
      <c r="P314" s="15"/>
      <c r="Q314" s="15"/>
      <c r="R314" s="15"/>
      <c r="S314" s="15"/>
      <c r="T314" s="15"/>
      <c r="U314" s="15"/>
      <c r="V314" s="15"/>
      <c r="W314" s="15"/>
      <c r="X314" s="15"/>
      <c r="Y314" s="15"/>
      <c r="Z314" s="15"/>
    </row>
    <row r="315" ht="12.75" customHeight="1">
      <c r="A315" s="37" t="str">
        <f t="shared" si="2"/>
        <v>ST_274</v>
      </c>
      <c r="B315" s="73"/>
      <c r="C315" s="73"/>
      <c r="D315" s="73"/>
      <c r="E315" s="73"/>
      <c r="F315" s="32"/>
      <c r="G315" s="56" t="s">
        <v>143</v>
      </c>
      <c r="H315" s="19" t="s">
        <v>959</v>
      </c>
      <c r="I315" s="92"/>
      <c r="J315" s="93"/>
      <c r="K315" s="93"/>
      <c r="L315" s="15"/>
      <c r="M315" s="15"/>
      <c r="N315" s="15"/>
      <c r="O315" s="15"/>
      <c r="P315" s="15"/>
      <c r="Q315" s="15"/>
      <c r="R315" s="15"/>
      <c r="S315" s="15"/>
      <c r="T315" s="15"/>
      <c r="U315" s="15"/>
      <c r="V315" s="15"/>
      <c r="W315" s="15"/>
      <c r="X315" s="15"/>
      <c r="Y315" s="15"/>
      <c r="Z315" s="15"/>
    </row>
    <row r="316" ht="12.75" customHeight="1">
      <c r="A316" s="37" t="str">
        <f t="shared" si="2"/>
        <v>ST_275</v>
      </c>
      <c r="B316" s="73"/>
      <c r="C316" s="73"/>
      <c r="D316" s="73"/>
      <c r="E316" s="73"/>
      <c r="F316" s="58" t="s">
        <v>960</v>
      </c>
      <c r="G316" s="58" t="s">
        <v>961</v>
      </c>
      <c r="H316" s="70" t="s">
        <v>955</v>
      </c>
      <c r="I316" s="111"/>
      <c r="J316" s="70"/>
      <c r="K316" s="70"/>
      <c r="L316" s="15"/>
      <c r="M316" s="15"/>
      <c r="N316" s="15"/>
      <c r="O316" s="15"/>
      <c r="P316" s="15"/>
      <c r="Q316" s="15"/>
      <c r="R316" s="15"/>
      <c r="S316" s="15"/>
      <c r="T316" s="15"/>
      <c r="U316" s="15"/>
      <c r="V316" s="15"/>
      <c r="W316" s="15"/>
      <c r="X316" s="15"/>
      <c r="Y316" s="15"/>
      <c r="Z316" s="15"/>
    </row>
    <row r="317" ht="60.75" customHeight="1">
      <c r="A317" s="37" t="str">
        <f t="shared" si="2"/>
        <v/>
      </c>
      <c r="B317" s="56" t="s">
        <v>842</v>
      </c>
      <c r="C317" s="56" t="s">
        <v>531</v>
      </c>
      <c r="D317" s="56" t="s">
        <v>962</v>
      </c>
      <c r="E317" s="56"/>
      <c r="F317" s="56"/>
      <c r="G317" s="56"/>
      <c r="H317" s="19"/>
      <c r="I317" s="97"/>
      <c r="J317" s="19"/>
      <c r="K317" s="19"/>
      <c r="L317" s="15"/>
      <c r="M317" s="15"/>
      <c r="N317" s="15"/>
      <c r="O317" s="15"/>
      <c r="P317" s="15"/>
      <c r="Q317" s="15"/>
      <c r="R317" s="15"/>
      <c r="S317" s="15"/>
      <c r="T317" s="15"/>
      <c r="U317" s="15"/>
      <c r="V317" s="15"/>
      <c r="W317" s="15"/>
      <c r="X317" s="15"/>
      <c r="Y317" s="15"/>
      <c r="Z317" s="15"/>
    </row>
    <row r="318" ht="15.0" customHeight="1">
      <c r="A318" s="37" t="str">
        <f t="shared" si="2"/>
        <v/>
      </c>
      <c r="B318" s="112" t="s">
        <v>963</v>
      </c>
      <c r="C318" s="113"/>
      <c r="D318" s="113"/>
      <c r="E318" s="113"/>
      <c r="F318" s="113"/>
      <c r="G318" s="113"/>
      <c r="H318" s="113"/>
      <c r="I318" s="113"/>
      <c r="J318" s="113"/>
      <c r="K318" s="114"/>
      <c r="L318" s="15"/>
      <c r="M318" s="15"/>
      <c r="N318" s="15"/>
      <c r="O318" s="15"/>
      <c r="P318" s="15"/>
      <c r="Q318" s="15"/>
      <c r="R318" s="15"/>
      <c r="S318" s="15"/>
      <c r="T318" s="15"/>
      <c r="U318" s="15"/>
      <c r="V318" s="86"/>
      <c r="W318" s="86"/>
      <c r="X318" s="86"/>
      <c r="Y318" s="86"/>
      <c r="Z318" s="86"/>
    </row>
    <row r="319" ht="19.5" customHeight="1">
      <c r="A319" s="37" t="str">
        <f t="shared" si="2"/>
        <v/>
      </c>
      <c r="B319" s="115" t="s">
        <v>964</v>
      </c>
      <c r="C319" s="116"/>
      <c r="D319" s="116"/>
      <c r="E319" s="116"/>
      <c r="F319" s="116"/>
      <c r="G319" s="116"/>
      <c r="H319" s="116"/>
      <c r="I319" s="90"/>
      <c r="J319" s="90"/>
      <c r="K319" s="90"/>
      <c r="L319" s="15"/>
      <c r="M319" s="15"/>
      <c r="N319" s="15"/>
      <c r="O319" s="15"/>
      <c r="P319" s="15"/>
      <c r="Q319" s="15"/>
      <c r="R319" s="15"/>
      <c r="S319" s="15"/>
      <c r="T319" s="15"/>
      <c r="U319" s="15"/>
      <c r="V319" s="15"/>
      <c r="W319" s="15"/>
      <c r="X319" s="15"/>
      <c r="Y319" s="15"/>
      <c r="Z319" s="15"/>
    </row>
    <row r="320" ht="12.75" customHeight="1">
      <c r="A320" s="37" t="str">
        <f t="shared" si="2"/>
        <v>ST_276</v>
      </c>
      <c r="B320" s="117" t="s">
        <v>35</v>
      </c>
      <c r="C320" s="117" t="s">
        <v>965</v>
      </c>
      <c r="D320" s="117" t="s">
        <v>966</v>
      </c>
      <c r="E320" s="117" t="s">
        <v>967</v>
      </c>
      <c r="F320" s="117" t="s">
        <v>968</v>
      </c>
      <c r="G320" s="117" t="s">
        <v>969</v>
      </c>
      <c r="H320" s="118" t="s">
        <v>970</v>
      </c>
      <c r="I320" s="119"/>
      <c r="J320" s="63"/>
      <c r="K320" s="63"/>
      <c r="L320" s="15"/>
      <c r="M320" s="15"/>
      <c r="N320" s="15"/>
      <c r="O320" s="15"/>
      <c r="P320" s="15"/>
      <c r="Q320" s="15"/>
      <c r="R320" s="15"/>
      <c r="S320" s="15"/>
      <c r="T320" s="15"/>
      <c r="U320" s="15"/>
      <c r="V320" s="15"/>
      <c r="W320" s="15"/>
      <c r="X320" s="15"/>
      <c r="Y320" s="15"/>
      <c r="Z320" s="15"/>
    </row>
    <row r="321" ht="12.75" customHeight="1">
      <c r="A321" s="37" t="str">
        <f t="shared" si="2"/>
        <v>ST_277</v>
      </c>
      <c r="B321" s="117" t="s">
        <v>35</v>
      </c>
      <c r="C321" s="117" t="s">
        <v>965</v>
      </c>
      <c r="D321" s="117" t="s">
        <v>971</v>
      </c>
      <c r="E321" s="117" t="s">
        <v>972</v>
      </c>
      <c r="F321" s="117" t="s">
        <v>973</v>
      </c>
      <c r="G321" s="117" t="s">
        <v>974</v>
      </c>
      <c r="H321" s="118" t="s">
        <v>975</v>
      </c>
      <c r="I321" s="119"/>
      <c r="J321" s="63"/>
      <c r="K321" s="63"/>
      <c r="L321" s="15"/>
      <c r="M321" s="15"/>
      <c r="N321" s="15"/>
      <c r="O321" s="15"/>
      <c r="P321" s="15"/>
      <c r="Q321" s="15"/>
      <c r="R321" s="15"/>
      <c r="S321" s="15"/>
      <c r="T321" s="15"/>
      <c r="U321" s="15"/>
      <c r="V321" s="15"/>
      <c r="W321" s="15"/>
      <c r="X321" s="15"/>
      <c r="Y321" s="15"/>
      <c r="Z321" s="15"/>
    </row>
    <row r="322" ht="12.75" customHeight="1">
      <c r="A322" s="37" t="str">
        <f t="shared" si="2"/>
        <v>ST_278</v>
      </c>
      <c r="B322" s="117" t="s">
        <v>35</v>
      </c>
      <c r="C322" s="117" t="s">
        <v>965</v>
      </c>
      <c r="D322" s="117" t="s">
        <v>976</v>
      </c>
      <c r="E322" s="117" t="s">
        <v>972</v>
      </c>
      <c r="F322" s="117" t="s">
        <v>977</v>
      </c>
      <c r="G322" s="117" t="s">
        <v>978</v>
      </c>
      <c r="H322" s="118" t="s">
        <v>979</v>
      </c>
      <c r="I322" s="119"/>
      <c r="J322" s="63"/>
      <c r="K322" s="63"/>
      <c r="L322" s="15"/>
      <c r="M322" s="15"/>
      <c r="N322" s="15"/>
      <c r="O322" s="15"/>
      <c r="P322" s="15"/>
      <c r="Q322" s="15"/>
      <c r="R322" s="15"/>
      <c r="S322" s="15"/>
      <c r="T322" s="15"/>
      <c r="U322" s="15"/>
      <c r="V322" s="15"/>
      <c r="W322" s="15"/>
      <c r="X322" s="15"/>
      <c r="Y322" s="15"/>
      <c r="Z322" s="15"/>
    </row>
    <row r="323" ht="114.75" customHeight="1">
      <c r="A323" s="37" t="str">
        <f t="shared" si="2"/>
        <v>ST_279</v>
      </c>
      <c r="B323" s="117" t="s">
        <v>35</v>
      </c>
      <c r="C323" s="117" t="s">
        <v>965</v>
      </c>
      <c r="D323" s="117" t="s">
        <v>980</v>
      </c>
      <c r="E323" s="117" t="s">
        <v>972</v>
      </c>
      <c r="F323" s="117" t="s">
        <v>981</v>
      </c>
      <c r="G323" s="117" t="s">
        <v>982</v>
      </c>
      <c r="H323" s="118" t="s">
        <v>983</v>
      </c>
      <c r="I323" s="119"/>
      <c r="J323" s="63"/>
      <c r="K323" s="63"/>
      <c r="L323" s="15"/>
      <c r="M323" s="15"/>
      <c r="N323" s="15"/>
      <c r="O323" s="15"/>
      <c r="P323" s="15"/>
      <c r="Q323" s="15"/>
      <c r="R323" s="15"/>
      <c r="S323" s="15"/>
      <c r="T323" s="15"/>
      <c r="U323" s="15"/>
      <c r="V323" s="15"/>
      <c r="W323" s="15"/>
      <c r="X323" s="15"/>
      <c r="Y323" s="15"/>
      <c r="Z323" s="15"/>
    </row>
    <row r="324" ht="12.75" customHeight="1">
      <c r="A324" s="37" t="str">
        <f t="shared" si="2"/>
        <v>ST_280</v>
      </c>
      <c r="B324" s="120" t="s">
        <v>35</v>
      </c>
      <c r="C324" s="120" t="s">
        <v>965</v>
      </c>
      <c r="D324" s="120" t="s">
        <v>185</v>
      </c>
      <c r="E324" s="120" t="s">
        <v>972</v>
      </c>
      <c r="F324" s="120" t="s">
        <v>984</v>
      </c>
      <c r="G324" s="117" t="s">
        <v>985</v>
      </c>
      <c r="H324" s="118" t="s">
        <v>986</v>
      </c>
      <c r="I324" s="119"/>
      <c r="J324" s="63"/>
      <c r="K324" s="63"/>
      <c r="L324" s="15"/>
      <c r="M324" s="15"/>
      <c r="N324" s="15"/>
      <c r="O324" s="15"/>
      <c r="P324" s="15"/>
      <c r="Q324" s="15"/>
      <c r="R324" s="15"/>
      <c r="S324" s="15"/>
      <c r="T324" s="15"/>
      <c r="U324" s="15"/>
      <c r="V324" s="15"/>
      <c r="W324" s="15"/>
      <c r="X324" s="15"/>
      <c r="Y324" s="15"/>
      <c r="Z324" s="15"/>
    </row>
    <row r="325" ht="12.75" customHeight="1">
      <c r="A325" s="37" t="str">
        <f t="shared" si="2"/>
        <v>ST_281</v>
      </c>
      <c r="B325" s="32"/>
      <c r="C325" s="32"/>
      <c r="D325" s="32"/>
      <c r="E325" s="32"/>
      <c r="F325" s="32"/>
      <c r="G325" s="117" t="s">
        <v>987</v>
      </c>
      <c r="H325" s="118" t="s">
        <v>988</v>
      </c>
      <c r="I325" s="119"/>
      <c r="J325" s="63"/>
      <c r="K325" s="63"/>
      <c r="L325" s="15"/>
      <c r="M325" s="15"/>
      <c r="N325" s="15"/>
      <c r="O325" s="15"/>
      <c r="P325" s="15"/>
      <c r="Q325" s="15"/>
      <c r="R325" s="15"/>
      <c r="S325" s="15"/>
      <c r="T325" s="15"/>
      <c r="U325" s="15"/>
      <c r="V325" s="15"/>
      <c r="W325" s="15"/>
      <c r="X325" s="15"/>
      <c r="Y325" s="15"/>
      <c r="Z325" s="15"/>
    </row>
    <row r="326" ht="72.75" customHeight="1">
      <c r="A326" s="37" t="str">
        <f t="shared" si="2"/>
        <v>ST_282</v>
      </c>
      <c r="B326" s="117" t="s">
        <v>35</v>
      </c>
      <c r="C326" s="117" t="s">
        <v>965</v>
      </c>
      <c r="D326" s="117" t="s">
        <v>989</v>
      </c>
      <c r="E326" s="117" t="s">
        <v>972</v>
      </c>
      <c r="F326" s="117" t="s">
        <v>990</v>
      </c>
      <c r="G326" s="117" t="s">
        <v>991</v>
      </c>
      <c r="H326" s="118" t="s">
        <v>992</v>
      </c>
      <c r="I326" s="119"/>
      <c r="J326" s="56"/>
      <c r="K326" s="56"/>
      <c r="L326" s="15"/>
      <c r="M326" s="15"/>
      <c r="N326" s="15"/>
      <c r="O326" s="15"/>
      <c r="P326" s="15"/>
      <c r="Q326" s="15"/>
      <c r="R326" s="15"/>
      <c r="S326" s="15"/>
      <c r="T326" s="15"/>
      <c r="U326" s="15"/>
      <c r="V326" s="15"/>
      <c r="W326" s="15"/>
      <c r="X326" s="15"/>
      <c r="Y326" s="15"/>
      <c r="Z326" s="15"/>
    </row>
    <row r="327" ht="12.75" customHeight="1">
      <c r="A327" s="37" t="str">
        <f t="shared" si="2"/>
        <v>ST_283</v>
      </c>
      <c r="B327" s="117" t="s">
        <v>35</v>
      </c>
      <c r="C327" s="117" t="s">
        <v>965</v>
      </c>
      <c r="D327" s="117" t="s">
        <v>993</v>
      </c>
      <c r="E327" s="117" t="s">
        <v>994</v>
      </c>
      <c r="F327" s="117" t="s">
        <v>995</v>
      </c>
      <c r="G327" s="117" t="s">
        <v>996</v>
      </c>
      <c r="H327" s="118" t="s">
        <v>997</v>
      </c>
      <c r="I327" s="119"/>
      <c r="J327" s="63"/>
      <c r="K327" s="63"/>
      <c r="L327" s="15"/>
      <c r="M327" s="15"/>
      <c r="N327" s="15"/>
      <c r="O327" s="15"/>
      <c r="P327" s="15"/>
      <c r="Q327" s="15"/>
      <c r="R327" s="15"/>
      <c r="S327" s="15"/>
      <c r="T327" s="15"/>
      <c r="U327" s="15"/>
      <c r="V327" s="15"/>
      <c r="W327" s="15"/>
      <c r="X327" s="15"/>
      <c r="Y327" s="15"/>
      <c r="Z327" s="15"/>
    </row>
    <row r="328" ht="219.75" customHeight="1">
      <c r="A328" s="37" t="str">
        <f t="shared" si="2"/>
        <v>ST_284</v>
      </c>
      <c r="B328" s="117" t="s">
        <v>35</v>
      </c>
      <c r="C328" s="117" t="s">
        <v>965</v>
      </c>
      <c r="D328" s="117" t="s">
        <v>998</v>
      </c>
      <c r="E328" s="117" t="s">
        <v>999</v>
      </c>
      <c r="F328" s="117" t="s">
        <v>1000</v>
      </c>
      <c r="G328" s="117" t="s">
        <v>1001</v>
      </c>
      <c r="H328" s="118" t="s">
        <v>1002</v>
      </c>
      <c r="I328" s="119"/>
      <c r="J328" s="63"/>
      <c r="K328" s="63"/>
      <c r="L328" s="15"/>
      <c r="M328" s="15"/>
      <c r="N328" s="15"/>
      <c r="O328" s="15"/>
      <c r="P328" s="15"/>
      <c r="Q328" s="15"/>
      <c r="R328" s="15"/>
      <c r="S328" s="15"/>
      <c r="T328" s="15"/>
      <c r="U328" s="15"/>
      <c r="V328" s="15"/>
      <c r="W328" s="15"/>
      <c r="X328" s="15"/>
      <c r="Y328" s="15"/>
      <c r="Z328" s="15"/>
    </row>
    <row r="329" ht="38.25" customHeight="1">
      <c r="A329" s="37" t="str">
        <f t="shared" si="2"/>
        <v>ST_285</v>
      </c>
      <c r="B329" s="120" t="s">
        <v>35</v>
      </c>
      <c r="C329" s="120" t="s">
        <v>89</v>
      </c>
      <c r="D329" s="120" t="s">
        <v>1003</v>
      </c>
      <c r="E329" s="117" t="s">
        <v>1004</v>
      </c>
      <c r="F329" s="120" t="s">
        <v>1005</v>
      </c>
      <c r="G329" s="117" t="s">
        <v>1006</v>
      </c>
      <c r="H329" s="118" t="s">
        <v>1007</v>
      </c>
      <c r="I329" s="119"/>
      <c r="J329" s="63"/>
      <c r="K329" s="63"/>
      <c r="L329" s="15"/>
      <c r="M329" s="15"/>
      <c r="N329" s="15"/>
      <c r="O329" s="15"/>
      <c r="P329" s="15"/>
      <c r="Q329" s="15"/>
      <c r="R329" s="15"/>
      <c r="S329" s="15"/>
      <c r="T329" s="15"/>
      <c r="U329" s="15"/>
      <c r="V329" s="15"/>
      <c r="W329" s="15"/>
      <c r="X329" s="15"/>
      <c r="Y329" s="15"/>
      <c r="Z329" s="15"/>
    </row>
    <row r="330" ht="38.25" customHeight="1">
      <c r="A330" s="37" t="str">
        <f t="shared" si="2"/>
        <v>ST_286</v>
      </c>
      <c r="B330" s="73"/>
      <c r="C330" s="73"/>
      <c r="D330" s="73"/>
      <c r="E330" s="117"/>
      <c r="F330" s="73"/>
      <c r="G330" s="117" t="s">
        <v>1008</v>
      </c>
      <c r="H330" s="118" t="s">
        <v>1009</v>
      </c>
      <c r="I330" s="119"/>
      <c r="J330" s="63"/>
      <c r="K330" s="63"/>
      <c r="L330" s="15"/>
      <c r="M330" s="15"/>
      <c r="N330" s="15"/>
      <c r="O330" s="15"/>
      <c r="P330" s="15"/>
      <c r="Q330" s="15"/>
      <c r="R330" s="15"/>
      <c r="S330" s="15"/>
      <c r="T330" s="15"/>
      <c r="U330" s="15"/>
      <c r="V330" s="15"/>
      <c r="W330" s="15"/>
      <c r="X330" s="15"/>
      <c r="Y330" s="15"/>
      <c r="Z330" s="15"/>
    </row>
    <row r="331" ht="12.75" customHeight="1">
      <c r="A331" s="37" t="str">
        <f t="shared" si="2"/>
        <v>ST_287</v>
      </c>
      <c r="B331" s="32"/>
      <c r="C331" s="32"/>
      <c r="D331" s="32"/>
      <c r="E331" s="117" t="s">
        <v>1010</v>
      </c>
      <c r="F331" s="32"/>
      <c r="G331" s="117" t="s">
        <v>1011</v>
      </c>
      <c r="H331" s="118" t="s">
        <v>1012</v>
      </c>
      <c r="I331" s="119"/>
      <c r="J331" s="63"/>
      <c r="K331" s="63"/>
      <c r="L331" s="15"/>
      <c r="M331" s="15"/>
      <c r="N331" s="15"/>
      <c r="O331" s="15"/>
      <c r="P331" s="15"/>
      <c r="Q331" s="15"/>
      <c r="R331" s="15"/>
      <c r="S331" s="15"/>
      <c r="T331" s="15"/>
      <c r="U331" s="15"/>
      <c r="V331" s="15"/>
      <c r="W331" s="15"/>
      <c r="X331" s="15"/>
      <c r="Y331" s="15"/>
      <c r="Z331" s="15"/>
    </row>
    <row r="332" ht="12.75" customHeight="1">
      <c r="A332" s="37" t="str">
        <f t="shared" si="2"/>
        <v>ST_288</v>
      </c>
      <c r="B332" s="120" t="s">
        <v>35</v>
      </c>
      <c r="C332" s="120" t="s">
        <v>89</v>
      </c>
      <c r="D332" s="120" t="s">
        <v>1013</v>
      </c>
      <c r="E332" s="120" t="s">
        <v>1014</v>
      </c>
      <c r="F332" s="120" t="s">
        <v>1015</v>
      </c>
      <c r="G332" s="117" t="s">
        <v>1016</v>
      </c>
      <c r="H332" s="118" t="s">
        <v>1017</v>
      </c>
      <c r="I332" s="119"/>
      <c r="J332" s="63"/>
      <c r="K332" s="63"/>
      <c r="L332" s="15"/>
      <c r="M332" s="15"/>
      <c r="N332" s="15"/>
      <c r="O332" s="15"/>
      <c r="P332" s="15"/>
      <c r="Q332" s="15"/>
      <c r="R332" s="15"/>
      <c r="S332" s="15"/>
      <c r="T332" s="15"/>
      <c r="U332" s="15"/>
      <c r="V332" s="15"/>
      <c r="W332" s="15"/>
      <c r="X332" s="15"/>
      <c r="Y332" s="15"/>
      <c r="Z332" s="15"/>
    </row>
    <row r="333" ht="36.75" customHeight="1">
      <c r="A333" s="37" t="str">
        <f t="shared" si="2"/>
        <v>ST_289</v>
      </c>
      <c r="B333" s="73"/>
      <c r="C333" s="73"/>
      <c r="D333" s="73"/>
      <c r="E333" s="73"/>
      <c r="F333" s="73"/>
      <c r="G333" s="117" t="s">
        <v>1018</v>
      </c>
      <c r="H333" s="118" t="s">
        <v>1019</v>
      </c>
      <c r="I333" s="119"/>
      <c r="J333" s="63"/>
      <c r="K333" s="63"/>
      <c r="L333" s="15"/>
      <c r="M333" s="15"/>
      <c r="N333" s="15"/>
      <c r="O333" s="15"/>
      <c r="P333" s="15"/>
      <c r="Q333" s="15"/>
      <c r="R333" s="15"/>
      <c r="S333" s="15"/>
      <c r="T333" s="15"/>
      <c r="U333" s="15"/>
      <c r="V333" s="15"/>
      <c r="W333" s="15"/>
      <c r="X333" s="15"/>
      <c r="Y333" s="15"/>
      <c r="Z333" s="15"/>
    </row>
    <row r="334" ht="36.75" customHeight="1">
      <c r="A334" s="37" t="str">
        <f t="shared" si="2"/>
        <v>ST_290</v>
      </c>
      <c r="B334" s="32"/>
      <c r="C334" s="32"/>
      <c r="D334" s="32"/>
      <c r="E334" s="32"/>
      <c r="F334" s="32"/>
      <c r="G334" s="117" t="s">
        <v>1020</v>
      </c>
      <c r="H334" s="118" t="s">
        <v>1021</v>
      </c>
      <c r="I334" s="119"/>
      <c r="J334" s="63"/>
      <c r="K334" s="63"/>
      <c r="L334" s="15"/>
      <c r="M334" s="15"/>
      <c r="N334" s="15"/>
      <c r="O334" s="15"/>
      <c r="P334" s="15"/>
      <c r="Q334" s="15"/>
      <c r="R334" s="15"/>
      <c r="S334" s="15"/>
      <c r="T334" s="15"/>
      <c r="U334" s="15"/>
      <c r="V334" s="15"/>
      <c r="W334" s="15"/>
      <c r="X334" s="15"/>
      <c r="Y334" s="15"/>
      <c r="Z334" s="15"/>
    </row>
    <row r="335" ht="36.75" customHeight="1">
      <c r="A335" s="37" t="str">
        <f t="shared" si="2"/>
        <v>ST_291</v>
      </c>
      <c r="B335" s="120" t="s">
        <v>35</v>
      </c>
      <c r="C335" s="120" t="s">
        <v>89</v>
      </c>
      <c r="D335" s="120" t="s">
        <v>1013</v>
      </c>
      <c r="E335" s="120" t="s">
        <v>1022</v>
      </c>
      <c r="F335" s="120" t="s">
        <v>1015</v>
      </c>
      <c r="G335" s="117" t="s">
        <v>1016</v>
      </c>
      <c r="H335" s="118" t="s">
        <v>1023</v>
      </c>
      <c r="I335" s="119"/>
      <c r="J335" s="63"/>
      <c r="K335" s="63"/>
      <c r="L335" s="15"/>
      <c r="M335" s="15"/>
      <c r="N335" s="15"/>
      <c r="O335" s="15"/>
      <c r="P335" s="15"/>
      <c r="Q335" s="15"/>
      <c r="R335" s="15"/>
      <c r="S335" s="15"/>
      <c r="T335" s="15"/>
      <c r="U335" s="15"/>
      <c r="V335" s="15"/>
      <c r="W335" s="15"/>
      <c r="X335" s="15"/>
      <c r="Y335" s="15"/>
      <c r="Z335" s="15"/>
    </row>
    <row r="336" ht="36.75" customHeight="1">
      <c r="A336" s="37" t="str">
        <f t="shared" si="2"/>
        <v>ST_292</v>
      </c>
      <c r="B336" s="73"/>
      <c r="C336" s="73"/>
      <c r="D336" s="73"/>
      <c r="E336" s="73"/>
      <c r="F336" s="73"/>
      <c r="G336" s="117" t="s">
        <v>1024</v>
      </c>
      <c r="H336" s="118" t="s">
        <v>1019</v>
      </c>
      <c r="I336" s="119"/>
      <c r="J336" s="63"/>
      <c r="K336" s="63"/>
      <c r="L336" s="15"/>
      <c r="M336" s="15"/>
      <c r="N336" s="15"/>
      <c r="O336" s="15"/>
      <c r="P336" s="15"/>
      <c r="Q336" s="15"/>
      <c r="R336" s="15"/>
      <c r="S336" s="15"/>
      <c r="T336" s="15"/>
      <c r="U336" s="15"/>
      <c r="V336" s="15"/>
      <c r="W336" s="15"/>
      <c r="X336" s="15"/>
      <c r="Y336" s="15"/>
      <c r="Z336" s="15"/>
    </row>
    <row r="337" ht="36.75" customHeight="1">
      <c r="A337" s="37" t="str">
        <f t="shared" si="2"/>
        <v>ST_293</v>
      </c>
      <c r="B337" s="32"/>
      <c r="C337" s="32"/>
      <c r="D337" s="32"/>
      <c r="E337" s="32"/>
      <c r="F337" s="32"/>
      <c r="G337" s="117" t="s">
        <v>1025</v>
      </c>
      <c r="H337" s="118" t="s">
        <v>1026</v>
      </c>
      <c r="I337" s="119"/>
      <c r="J337" s="63"/>
      <c r="K337" s="63"/>
      <c r="L337" s="15"/>
      <c r="M337" s="15"/>
      <c r="N337" s="15"/>
      <c r="O337" s="15"/>
      <c r="P337" s="15"/>
      <c r="Q337" s="15"/>
      <c r="R337" s="15"/>
      <c r="S337" s="15"/>
      <c r="T337" s="15"/>
      <c r="U337" s="15"/>
      <c r="V337" s="15"/>
      <c r="W337" s="15"/>
      <c r="X337" s="15"/>
      <c r="Y337" s="15"/>
      <c r="Z337" s="15"/>
    </row>
    <row r="338" ht="255.75" customHeight="1">
      <c r="A338" s="37" t="str">
        <f t="shared" si="2"/>
        <v>ST_294</v>
      </c>
      <c r="B338" s="117" t="s">
        <v>35</v>
      </c>
      <c r="C338" s="117" t="s">
        <v>965</v>
      </c>
      <c r="D338" s="117" t="s">
        <v>1027</v>
      </c>
      <c r="E338" s="117" t="s">
        <v>1028</v>
      </c>
      <c r="F338" s="117" t="s">
        <v>1029</v>
      </c>
      <c r="G338" s="117" t="s">
        <v>1030</v>
      </c>
      <c r="H338" s="118" t="s">
        <v>1031</v>
      </c>
      <c r="I338" s="119"/>
      <c r="J338" s="63"/>
      <c r="K338" s="63"/>
      <c r="L338" s="15"/>
      <c r="M338" s="15"/>
      <c r="N338" s="15"/>
      <c r="O338" s="15"/>
      <c r="P338" s="15"/>
      <c r="Q338" s="15"/>
      <c r="R338" s="15"/>
      <c r="S338" s="15"/>
      <c r="T338" s="15"/>
      <c r="U338" s="15"/>
      <c r="V338" s="15"/>
      <c r="W338" s="15"/>
      <c r="X338" s="15"/>
      <c r="Y338" s="15"/>
      <c r="Z338" s="15"/>
    </row>
    <row r="339" ht="12.75" customHeight="1">
      <c r="A339" s="37" t="str">
        <f t="shared" si="2"/>
        <v>ST_295</v>
      </c>
      <c r="B339" s="117" t="s">
        <v>35</v>
      </c>
      <c r="C339" s="117" t="s">
        <v>965</v>
      </c>
      <c r="D339" s="117" t="s">
        <v>1032</v>
      </c>
      <c r="E339" s="117" t="s">
        <v>1033</v>
      </c>
      <c r="F339" s="117" t="s">
        <v>1034</v>
      </c>
      <c r="G339" s="117" t="s">
        <v>1035</v>
      </c>
      <c r="H339" s="118" t="s">
        <v>1036</v>
      </c>
      <c r="I339" s="119"/>
      <c r="J339" s="56"/>
      <c r="K339" s="56"/>
      <c r="L339" s="15"/>
      <c r="M339" s="15"/>
      <c r="N339" s="15"/>
      <c r="O339" s="15"/>
      <c r="P339" s="15"/>
      <c r="Q339" s="15"/>
      <c r="R339" s="15"/>
      <c r="S339" s="15"/>
      <c r="T339" s="15"/>
      <c r="U339" s="15"/>
      <c r="V339" s="15"/>
      <c r="W339" s="15"/>
      <c r="X339" s="15"/>
      <c r="Y339" s="15"/>
      <c r="Z339" s="15"/>
    </row>
    <row r="340" ht="12.75" customHeight="1">
      <c r="A340" s="37" t="str">
        <f t="shared" si="2"/>
        <v>ST_296</v>
      </c>
      <c r="B340" s="117" t="s">
        <v>35</v>
      </c>
      <c r="C340" s="117" t="s">
        <v>965</v>
      </c>
      <c r="D340" s="117" t="s">
        <v>1037</v>
      </c>
      <c r="E340" s="117" t="s">
        <v>1038</v>
      </c>
      <c r="F340" s="117" t="s">
        <v>1039</v>
      </c>
      <c r="G340" s="117" t="s">
        <v>1040</v>
      </c>
      <c r="H340" s="118" t="s">
        <v>1041</v>
      </c>
      <c r="I340" s="119"/>
      <c r="J340" s="56"/>
      <c r="K340" s="56"/>
      <c r="L340" s="15"/>
      <c r="M340" s="15"/>
      <c r="N340" s="15"/>
      <c r="O340" s="15"/>
      <c r="P340" s="15"/>
      <c r="Q340" s="15"/>
      <c r="R340" s="15"/>
      <c r="S340" s="15"/>
      <c r="T340" s="15"/>
      <c r="U340" s="15"/>
      <c r="V340" s="15"/>
      <c r="W340" s="15"/>
      <c r="X340" s="15"/>
      <c r="Y340" s="15"/>
      <c r="Z340" s="15"/>
    </row>
    <row r="341" ht="12.75" customHeight="1">
      <c r="A341" s="37" t="str">
        <f t="shared" si="2"/>
        <v>ST_297</v>
      </c>
      <c r="B341" s="117" t="s">
        <v>35</v>
      </c>
      <c r="C341" s="117" t="s">
        <v>965</v>
      </c>
      <c r="D341" s="117" t="s">
        <v>1042</v>
      </c>
      <c r="E341" s="117" t="s">
        <v>1038</v>
      </c>
      <c r="F341" s="117" t="s">
        <v>1043</v>
      </c>
      <c r="G341" s="117" t="s">
        <v>1044</v>
      </c>
      <c r="H341" s="118" t="s">
        <v>1045</v>
      </c>
      <c r="I341" s="119"/>
      <c r="J341" s="63"/>
      <c r="K341" s="63"/>
      <c r="L341" s="15"/>
      <c r="M341" s="15"/>
      <c r="N341" s="15"/>
      <c r="O341" s="15"/>
      <c r="P341" s="15"/>
      <c r="Q341" s="15"/>
      <c r="R341" s="15"/>
      <c r="S341" s="15"/>
      <c r="T341" s="15"/>
      <c r="U341" s="15"/>
      <c r="V341" s="15"/>
      <c r="W341" s="15"/>
      <c r="X341" s="15"/>
      <c r="Y341" s="15"/>
      <c r="Z341" s="15"/>
    </row>
    <row r="342" ht="19.5" customHeight="1">
      <c r="A342" s="37" t="str">
        <f t="shared" si="2"/>
        <v/>
      </c>
      <c r="B342" s="115" t="s">
        <v>1046</v>
      </c>
      <c r="C342" s="116"/>
      <c r="D342" s="116"/>
      <c r="E342" s="116"/>
      <c r="F342" s="116"/>
      <c r="G342" s="116"/>
      <c r="H342" s="116"/>
      <c r="I342" s="90"/>
      <c r="J342" s="90"/>
      <c r="K342" s="90"/>
      <c r="L342" s="15"/>
      <c r="M342" s="15"/>
      <c r="N342" s="15"/>
      <c r="O342" s="15"/>
      <c r="P342" s="15"/>
      <c r="Q342" s="15"/>
      <c r="R342" s="15"/>
      <c r="S342" s="15"/>
      <c r="T342" s="15"/>
      <c r="U342" s="15"/>
      <c r="V342" s="15"/>
      <c r="W342" s="15"/>
      <c r="X342" s="15"/>
      <c r="Y342" s="15"/>
      <c r="Z342" s="15"/>
    </row>
    <row r="343" ht="12.75" customHeight="1">
      <c r="A343" s="37" t="str">
        <f t="shared" si="2"/>
        <v>ST_298</v>
      </c>
      <c r="B343" s="117" t="s">
        <v>508</v>
      </c>
      <c r="C343" s="117" t="s">
        <v>189</v>
      </c>
      <c r="D343" s="117" t="s">
        <v>1047</v>
      </c>
      <c r="E343" s="117" t="s">
        <v>1048</v>
      </c>
      <c r="F343" s="117" t="s">
        <v>1049</v>
      </c>
      <c r="G343" s="117" t="s">
        <v>1050</v>
      </c>
      <c r="H343" s="118" t="s">
        <v>1051</v>
      </c>
      <c r="I343" s="119"/>
      <c r="J343" s="63"/>
      <c r="K343" s="63"/>
      <c r="L343" s="15"/>
      <c r="M343" s="15"/>
      <c r="N343" s="15"/>
      <c r="O343" s="15"/>
      <c r="P343" s="15"/>
      <c r="Q343" s="15"/>
      <c r="R343" s="15"/>
      <c r="S343" s="15"/>
      <c r="T343" s="15"/>
      <c r="U343" s="15"/>
      <c r="V343" s="15"/>
      <c r="W343" s="15"/>
      <c r="X343" s="15"/>
      <c r="Y343" s="15"/>
      <c r="Z343" s="15"/>
    </row>
    <row r="344" ht="12.75" customHeight="1">
      <c r="A344" s="37" t="str">
        <f t="shared" si="2"/>
        <v>ST_299</v>
      </c>
      <c r="B344" s="117" t="s">
        <v>508</v>
      </c>
      <c r="C344" s="117" t="s">
        <v>189</v>
      </c>
      <c r="D344" s="117" t="s">
        <v>1052</v>
      </c>
      <c r="E344" s="117" t="s">
        <v>1053</v>
      </c>
      <c r="F344" s="117" t="s">
        <v>1054</v>
      </c>
      <c r="G344" s="117" t="s">
        <v>1055</v>
      </c>
      <c r="H344" s="118" t="s">
        <v>1056</v>
      </c>
      <c r="I344" s="119"/>
      <c r="J344" s="63"/>
      <c r="K344" s="63"/>
      <c r="L344" s="15"/>
      <c r="M344" s="15"/>
      <c r="N344" s="15"/>
      <c r="O344" s="15"/>
      <c r="P344" s="15"/>
      <c r="Q344" s="15"/>
      <c r="R344" s="15"/>
      <c r="S344" s="15"/>
      <c r="T344" s="15"/>
      <c r="U344" s="15"/>
      <c r="V344" s="15"/>
      <c r="W344" s="15"/>
      <c r="X344" s="15"/>
      <c r="Y344" s="15"/>
      <c r="Z344" s="15"/>
    </row>
    <row r="345" ht="12.75" customHeight="1">
      <c r="A345" s="37" t="str">
        <f t="shared" si="2"/>
        <v>ST_300</v>
      </c>
      <c r="B345" s="117" t="s">
        <v>508</v>
      </c>
      <c r="C345" s="117" t="s">
        <v>189</v>
      </c>
      <c r="D345" s="117" t="s">
        <v>1057</v>
      </c>
      <c r="E345" s="117" t="s">
        <v>1057</v>
      </c>
      <c r="F345" s="117" t="s">
        <v>1058</v>
      </c>
      <c r="G345" s="117" t="s">
        <v>1059</v>
      </c>
      <c r="H345" s="118" t="s">
        <v>1060</v>
      </c>
      <c r="I345" s="119"/>
      <c r="J345" s="63"/>
      <c r="K345" s="63"/>
      <c r="L345" s="15"/>
      <c r="M345" s="15"/>
      <c r="N345" s="15"/>
      <c r="O345" s="15"/>
      <c r="P345" s="15"/>
      <c r="Q345" s="15"/>
      <c r="R345" s="15"/>
      <c r="S345" s="15"/>
      <c r="T345" s="15"/>
      <c r="U345" s="15"/>
      <c r="V345" s="15"/>
      <c r="W345" s="15"/>
      <c r="X345" s="15"/>
      <c r="Y345" s="15"/>
      <c r="Z345" s="15"/>
    </row>
    <row r="346" ht="122.25" customHeight="1">
      <c r="A346" s="37" t="str">
        <f t="shared" si="2"/>
        <v>ST_301</v>
      </c>
      <c r="B346" s="120" t="s">
        <v>508</v>
      </c>
      <c r="C346" s="120" t="s">
        <v>189</v>
      </c>
      <c r="D346" s="120" t="s">
        <v>185</v>
      </c>
      <c r="E346" s="120" t="s">
        <v>1061</v>
      </c>
      <c r="F346" s="120" t="s">
        <v>984</v>
      </c>
      <c r="G346" s="117" t="s">
        <v>1062</v>
      </c>
      <c r="H346" s="118" t="s">
        <v>1063</v>
      </c>
      <c r="I346" s="119"/>
      <c r="J346" s="63"/>
      <c r="K346" s="63"/>
      <c r="L346" s="15"/>
      <c r="M346" s="15"/>
      <c r="N346" s="15"/>
      <c r="O346" s="15"/>
      <c r="P346" s="15"/>
      <c r="Q346" s="15"/>
      <c r="R346" s="15"/>
      <c r="S346" s="15"/>
      <c r="T346" s="15"/>
      <c r="U346" s="15"/>
      <c r="V346" s="15"/>
      <c r="W346" s="15"/>
      <c r="X346" s="15"/>
      <c r="Y346" s="15"/>
      <c r="Z346" s="15"/>
    </row>
    <row r="347" ht="33.75" customHeight="1">
      <c r="A347" s="37" t="str">
        <f t="shared" si="2"/>
        <v>ST_302</v>
      </c>
      <c r="B347" s="32"/>
      <c r="C347" s="32"/>
      <c r="D347" s="32"/>
      <c r="E347" s="32"/>
      <c r="F347" s="32"/>
      <c r="G347" s="117" t="s">
        <v>987</v>
      </c>
      <c r="H347" s="118" t="s">
        <v>988</v>
      </c>
      <c r="I347" s="119"/>
      <c r="J347" s="63"/>
      <c r="K347" s="63"/>
      <c r="L347" s="15"/>
      <c r="M347" s="15"/>
      <c r="N347" s="15"/>
      <c r="O347" s="15"/>
      <c r="P347" s="15"/>
      <c r="Q347" s="15"/>
      <c r="R347" s="15"/>
      <c r="S347" s="15"/>
      <c r="T347" s="15"/>
      <c r="U347" s="15"/>
      <c r="V347" s="15"/>
      <c r="W347" s="15"/>
      <c r="X347" s="15"/>
      <c r="Y347" s="15"/>
      <c r="Z347" s="15"/>
    </row>
    <row r="348" ht="12.75" customHeight="1">
      <c r="A348" s="37" t="str">
        <f t="shared" si="2"/>
        <v>ST_303</v>
      </c>
      <c r="B348" s="117" t="s">
        <v>508</v>
      </c>
      <c r="C348" s="117" t="s">
        <v>189</v>
      </c>
      <c r="D348" s="117" t="s">
        <v>1064</v>
      </c>
      <c r="E348" s="117" t="s">
        <v>1065</v>
      </c>
      <c r="F348" s="117" t="s">
        <v>1066</v>
      </c>
      <c r="G348" s="117" t="s">
        <v>1067</v>
      </c>
      <c r="H348" s="118" t="s">
        <v>1068</v>
      </c>
      <c r="I348" s="119"/>
      <c r="J348" s="63"/>
      <c r="K348" s="63"/>
      <c r="L348" s="15"/>
      <c r="M348" s="15"/>
      <c r="N348" s="15"/>
      <c r="O348" s="15"/>
      <c r="P348" s="15"/>
      <c r="Q348" s="15"/>
      <c r="R348" s="15"/>
      <c r="S348" s="15"/>
      <c r="T348" s="15"/>
      <c r="U348" s="15"/>
      <c r="V348" s="15"/>
      <c r="W348" s="15"/>
      <c r="X348" s="15"/>
      <c r="Y348" s="15"/>
      <c r="Z348" s="15"/>
    </row>
    <row r="349" ht="19.5" customHeight="1">
      <c r="A349" s="37" t="str">
        <f t="shared" si="2"/>
        <v/>
      </c>
      <c r="B349" s="115" t="s">
        <v>1069</v>
      </c>
      <c r="C349" s="116"/>
      <c r="D349" s="116"/>
      <c r="E349" s="116"/>
      <c r="F349" s="116"/>
      <c r="G349" s="116"/>
      <c r="H349" s="116"/>
      <c r="I349" s="90"/>
      <c r="J349" s="90"/>
      <c r="K349" s="90"/>
      <c r="L349" s="15"/>
      <c r="M349" s="15"/>
      <c r="N349" s="15"/>
      <c r="O349" s="15"/>
      <c r="P349" s="15"/>
      <c r="Q349" s="15"/>
      <c r="R349" s="15"/>
      <c r="S349" s="15"/>
      <c r="T349" s="15"/>
      <c r="U349" s="15"/>
      <c r="V349" s="15"/>
      <c r="W349" s="15"/>
      <c r="X349" s="15"/>
      <c r="Y349" s="15"/>
      <c r="Z349" s="15"/>
    </row>
    <row r="350" ht="12.75" customHeight="1">
      <c r="A350" s="37" t="str">
        <f t="shared" si="2"/>
        <v>ST_304</v>
      </c>
      <c r="B350" s="117" t="s">
        <v>35</v>
      </c>
      <c r="C350" s="117" t="s">
        <v>965</v>
      </c>
      <c r="D350" s="117" t="s">
        <v>1070</v>
      </c>
      <c r="E350" s="117" t="s">
        <v>1071</v>
      </c>
      <c r="F350" s="117" t="s">
        <v>1072</v>
      </c>
      <c r="G350" s="117" t="s">
        <v>1073</v>
      </c>
      <c r="H350" s="117" t="s">
        <v>1074</v>
      </c>
      <c r="I350" s="119"/>
      <c r="J350" s="63"/>
      <c r="K350" s="63"/>
      <c r="L350" s="15"/>
      <c r="M350" s="15"/>
      <c r="N350" s="15"/>
      <c r="O350" s="15"/>
      <c r="P350" s="15"/>
      <c r="Q350" s="15"/>
      <c r="R350" s="15"/>
      <c r="S350" s="15"/>
      <c r="T350" s="15"/>
      <c r="U350" s="15"/>
      <c r="V350" s="15"/>
      <c r="W350" s="15"/>
      <c r="X350" s="15"/>
      <c r="Y350" s="15"/>
      <c r="Z350" s="15"/>
    </row>
    <row r="351" ht="12.75" customHeight="1">
      <c r="A351" s="37" t="str">
        <f t="shared" si="2"/>
        <v>ST_305</v>
      </c>
      <c r="B351" s="117" t="s">
        <v>35</v>
      </c>
      <c r="C351" s="117" t="s">
        <v>965</v>
      </c>
      <c r="D351" s="117" t="s">
        <v>1075</v>
      </c>
      <c r="E351" s="117" t="s">
        <v>1076</v>
      </c>
      <c r="F351" s="117" t="s">
        <v>1077</v>
      </c>
      <c r="G351" s="117" t="s">
        <v>1078</v>
      </c>
      <c r="H351" s="117" t="s">
        <v>1079</v>
      </c>
      <c r="I351" s="119"/>
      <c r="J351" s="63"/>
      <c r="K351" s="63"/>
      <c r="L351" s="15"/>
      <c r="M351" s="15"/>
      <c r="N351" s="15"/>
      <c r="O351" s="15"/>
      <c r="P351" s="15"/>
      <c r="Q351" s="15"/>
      <c r="R351" s="15"/>
      <c r="S351" s="15"/>
      <c r="T351" s="15"/>
      <c r="U351" s="15"/>
      <c r="V351" s="15"/>
      <c r="W351" s="15"/>
      <c r="X351" s="15"/>
      <c r="Y351" s="15"/>
      <c r="Z351" s="15"/>
    </row>
    <row r="352" ht="12.75" customHeight="1">
      <c r="A352" s="37" t="str">
        <f t="shared" si="2"/>
        <v>ST_306</v>
      </c>
      <c r="B352" s="117" t="s">
        <v>35</v>
      </c>
      <c r="C352" s="117" t="s">
        <v>965</v>
      </c>
      <c r="D352" s="117" t="s">
        <v>1080</v>
      </c>
      <c r="E352" s="117" t="s">
        <v>1081</v>
      </c>
      <c r="F352" s="117" t="s">
        <v>1082</v>
      </c>
      <c r="G352" s="117" t="s">
        <v>1083</v>
      </c>
      <c r="H352" s="118" t="s">
        <v>1084</v>
      </c>
      <c r="I352" s="119"/>
      <c r="J352" s="63"/>
      <c r="K352" s="63"/>
      <c r="L352" s="15"/>
      <c r="M352" s="15"/>
      <c r="N352" s="15"/>
      <c r="O352" s="15"/>
      <c r="P352" s="15"/>
      <c r="Q352" s="15"/>
      <c r="R352" s="15"/>
      <c r="S352" s="15"/>
      <c r="T352" s="15"/>
      <c r="U352" s="15"/>
      <c r="V352" s="15"/>
      <c r="W352" s="15"/>
      <c r="X352" s="15"/>
      <c r="Y352" s="15"/>
      <c r="Z352" s="15"/>
    </row>
    <row r="353" ht="15.0" customHeight="1">
      <c r="A353" s="37" t="str">
        <f t="shared" si="2"/>
        <v/>
      </c>
      <c r="B353" s="121" t="s">
        <v>1085</v>
      </c>
      <c r="C353" s="122"/>
      <c r="D353" s="122"/>
      <c r="E353" s="122"/>
      <c r="F353" s="122"/>
      <c r="G353" s="122"/>
      <c r="H353" s="122"/>
      <c r="I353" s="122"/>
      <c r="J353" s="122"/>
      <c r="K353" s="123"/>
      <c r="L353" s="15"/>
      <c r="M353" s="15"/>
      <c r="N353" s="15"/>
      <c r="O353" s="15"/>
      <c r="P353" s="15"/>
      <c r="Q353" s="15"/>
      <c r="R353" s="15"/>
      <c r="S353" s="15"/>
      <c r="T353" s="15"/>
      <c r="U353" s="15"/>
      <c r="V353" s="86"/>
      <c r="W353" s="86"/>
      <c r="X353" s="86"/>
      <c r="Y353" s="86"/>
      <c r="Z353" s="86"/>
    </row>
    <row r="354" ht="48.0" customHeight="1">
      <c r="A354" s="37" t="str">
        <f t="shared" si="2"/>
        <v/>
      </c>
      <c r="B354" s="124" t="s">
        <v>1086</v>
      </c>
      <c r="C354" s="125"/>
      <c r="D354" s="125"/>
      <c r="E354" s="125"/>
      <c r="F354" s="125"/>
      <c r="G354" s="125"/>
      <c r="H354" s="126"/>
      <c r="I354" s="127"/>
      <c r="J354" s="72"/>
      <c r="K354" s="72"/>
      <c r="L354" s="15"/>
      <c r="M354" s="15"/>
      <c r="N354" s="15"/>
      <c r="O354" s="15"/>
      <c r="P354" s="15"/>
      <c r="Q354" s="15"/>
      <c r="R354" s="15"/>
      <c r="S354" s="15"/>
      <c r="T354" s="15"/>
      <c r="U354" s="15"/>
      <c r="V354" s="15"/>
      <c r="W354" s="15"/>
      <c r="X354" s="15"/>
      <c r="Y354" s="15"/>
      <c r="Z354" s="15"/>
    </row>
    <row r="355" ht="12.75" customHeight="1">
      <c r="A355" s="37" t="str">
        <f t="shared" si="2"/>
        <v>ST_307</v>
      </c>
      <c r="B355" s="128" t="s">
        <v>35</v>
      </c>
      <c r="C355" s="128" t="s">
        <v>531</v>
      </c>
      <c r="D355" s="128" t="s">
        <v>1087</v>
      </c>
      <c r="E355" s="128" t="s">
        <v>1088</v>
      </c>
      <c r="F355" s="128" t="s">
        <v>1089</v>
      </c>
      <c r="G355" s="128" t="s">
        <v>1090</v>
      </c>
      <c r="H355" s="129" t="s">
        <v>1091</v>
      </c>
      <c r="I355" s="127"/>
      <c r="J355" s="72"/>
      <c r="K355" s="72"/>
      <c r="L355" s="15"/>
      <c r="M355" s="15"/>
      <c r="N355" s="15"/>
      <c r="O355" s="15"/>
      <c r="P355" s="15"/>
      <c r="Q355" s="15"/>
      <c r="R355" s="15"/>
      <c r="S355" s="15"/>
      <c r="T355" s="15"/>
      <c r="U355" s="15"/>
      <c r="V355" s="15"/>
      <c r="W355" s="15"/>
      <c r="X355" s="15"/>
      <c r="Y355" s="15"/>
      <c r="Z355" s="15"/>
    </row>
    <row r="356" ht="91.5" customHeight="1">
      <c r="A356" s="37" t="str">
        <f t="shared" si="2"/>
        <v>ST_308</v>
      </c>
      <c r="B356" s="128"/>
      <c r="C356" s="128"/>
      <c r="D356" s="128"/>
      <c r="E356" s="128"/>
      <c r="F356" s="128"/>
      <c r="G356" s="128" t="s">
        <v>1092</v>
      </c>
      <c r="H356" s="129" t="s">
        <v>1093</v>
      </c>
      <c r="I356" s="127"/>
      <c r="J356" s="72"/>
      <c r="K356" s="72"/>
      <c r="L356" s="15"/>
      <c r="M356" s="15"/>
      <c r="N356" s="15"/>
      <c r="O356" s="15"/>
      <c r="P356" s="15"/>
      <c r="Q356" s="15"/>
      <c r="R356" s="15"/>
      <c r="S356" s="15"/>
      <c r="T356" s="15"/>
      <c r="U356" s="15"/>
      <c r="V356" s="15"/>
      <c r="W356" s="15"/>
      <c r="X356" s="15"/>
      <c r="Y356" s="15"/>
      <c r="Z356" s="15"/>
    </row>
    <row r="357" ht="12.75" customHeight="1">
      <c r="A357" s="37" t="str">
        <f t="shared" si="2"/>
        <v>ST_309</v>
      </c>
      <c r="B357" s="128" t="s">
        <v>35</v>
      </c>
      <c r="C357" s="128" t="s">
        <v>531</v>
      </c>
      <c r="D357" s="128" t="s">
        <v>1094</v>
      </c>
      <c r="E357" s="128" t="s">
        <v>1088</v>
      </c>
      <c r="F357" s="128" t="s">
        <v>1095</v>
      </c>
      <c r="G357" s="128" t="s">
        <v>1096</v>
      </c>
      <c r="H357" s="129" t="s">
        <v>1097</v>
      </c>
      <c r="I357" s="127"/>
      <c r="J357" s="72"/>
      <c r="K357" s="72"/>
      <c r="L357" s="15"/>
      <c r="M357" s="15"/>
      <c r="N357" s="15"/>
      <c r="O357" s="15"/>
      <c r="P357" s="15"/>
      <c r="Q357" s="15"/>
      <c r="R357" s="15"/>
      <c r="S357" s="15"/>
      <c r="T357" s="15"/>
      <c r="U357" s="15"/>
      <c r="V357" s="15"/>
      <c r="W357" s="15"/>
      <c r="X357" s="15"/>
      <c r="Y357" s="15"/>
      <c r="Z357" s="15"/>
    </row>
    <row r="358" ht="12.75" customHeight="1">
      <c r="A358" s="37" t="str">
        <f t="shared" si="2"/>
        <v>ST_310</v>
      </c>
      <c r="B358" s="128"/>
      <c r="C358" s="128"/>
      <c r="D358" s="128"/>
      <c r="E358" s="128"/>
      <c r="F358" s="128"/>
      <c r="G358" s="128" t="s">
        <v>1098</v>
      </c>
      <c r="H358" s="130" t="s">
        <v>1099</v>
      </c>
      <c r="I358" s="127"/>
      <c r="J358" s="72"/>
      <c r="K358" s="72"/>
      <c r="L358" s="15"/>
      <c r="M358" s="15"/>
      <c r="N358" s="15"/>
      <c r="O358" s="15"/>
      <c r="P358" s="15"/>
      <c r="Q358" s="15"/>
      <c r="R358" s="15"/>
      <c r="S358" s="15"/>
      <c r="T358" s="15"/>
      <c r="U358" s="15"/>
      <c r="V358" s="15"/>
      <c r="W358" s="15"/>
      <c r="X358" s="15"/>
      <c r="Y358" s="15"/>
      <c r="Z358" s="15"/>
    </row>
    <row r="359" ht="228.75" customHeight="1">
      <c r="A359" s="37" t="str">
        <f t="shared" si="2"/>
        <v>ST_311</v>
      </c>
      <c r="B359" s="128" t="s">
        <v>35</v>
      </c>
      <c r="C359" s="128" t="s">
        <v>531</v>
      </c>
      <c r="D359" s="128" t="s">
        <v>1100</v>
      </c>
      <c r="E359" s="128" t="s">
        <v>1088</v>
      </c>
      <c r="F359" s="128" t="s">
        <v>1101</v>
      </c>
      <c r="G359" s="128" t="s">
        <v>1102</v>
      </c>
      <c r="H359" s="129" t="s">
        <v>1103</v>
      </c>
      <c r="I359" s="127"/>
      <c r="J359" s="72"/>
      <c r="K359" s="72"/>
      <c r="L359" s="15"/>
      <c r="M359" s="15"/>
      <c r="N359" s="15"/>
      <c r="O359" s="15"/>
      <c r="P359" s="15"/>
      <c r="Q359" s="15"/>
      <c r="R359" s="15"/>
      <c r="S359" s="15"/>
      <c r="T359" s="15"/>
      <c r="U359" s="15"/>
      <c r="V359" s="15"/>
      <c r="W359" s="15"/>
      <c r="X359" s="15"/>
      <c r="Y359" s="15"/>
      <c r="Z359" s="15"/>
    </row>
    <row r="360" ht="12.75" customHeight="1">
      <c r="A360" s="37" t="str">
        <f t="shared" si="2"/>
        <v>ST_312</v>
      </c>
      <c r="B360" s="128" t="s">
        <v>35</v>
      </c>
      <c r="C360" s="128" t="s">
        <v>531</v>
      </c>
      <c r="D360" s="128" t="s">
        <v>524</v>
      </c>
      <c r="E360" s="128" t="s">
        <v>1088</v>
      </c>
      <c r="F360" s="128" t="s">
        <v>1104</v>
      </c>
      <c r="G360" s="128" t="s">
        <v>1105</v>
      </c>
      <c r="H360" s="129" t="s">
        <v>1106</v>
      </c>
      <c r="I360" s="127"/>
      <c r="J360" s="72"/>
      <c r="K360" s="72"/>
      <c r="L360" s="15"/>
      <c r="M360" s="15"/>
      <c r="N360" s="15"/>
      <c r="O360" s="15"/>
      <c r="P360" s="15"/>
      <c r="Q360" s="15"/>
      <c r="R360" s="15"/>
      <c r="S360" s="15"/>
      <c r="T360" s="15"/>
      <c r="U360" s="15"/>
      <c r="V360" s="15"/>
      <c r="W360" s="15"/>
      <c r="X360" s="15"/>
      <c r="Y360" s="15"/>
      <c r="Z360" s="15"/>
    </row>
    <row r="361" ht="98.25" customHeight="1">
      <c r="A361" s="37" t="str">
        <f t="shared" si="2"/>
        <v>ST_313</v>
      </c>
      <c r="B361" s="128" t="s">
        <v>35</v>
      </c>
      <c r="C361" s="128" t="s">
        <v>189</v>
      </c>
      <c r="D361" s="128" t="s">
        <v>1107</v>
      </c>
      <c r="E361" s="128" t="s">
        <v>1108</v>
      </c>
      <c r="F361" s="128" t="s">
        <v>1109</v>
      </c>
      <c r="G361" s="128" t="s">
        <v>1110</v>
      </c>
      <c r="H361" s="129" t="s">
        <v>1111</v>
      </c>
      <c r="I361" s="127"/>
      <c r="J361" s="72"/>
      <c r="K361" s="72"/>
      <c r="L361" s="15"/>
      <c r="M361" s="15"/>
      <c r="N361" s="15"/>
      <c r="O361" s="15"/>
      <c r="P361" s="15"/>
      <c r="Q361" s="15"/>
      <c r="R361" s="15"/>
      <c r="S361" s="15"/>
      <c r="T361" s="15"/>
      <c r="U361" s="15"/>
      <c r="V361" s="15"/>
      <c r="W361" s="15"/>
      <c r="X361" s="15"/>
      <c r="Y361" s="15"/>
      <c r="Z361" s="15"/>
    </row>
    <row r="362" ht="12.75" customHeight="1">
      <c r="A362" s="37" t="str">
        <f t="shared" si="2"/>
        <v>ST_314</v>
      </c>
      <c r="B362" s="128" t="s">
        <v>35</v>
      </c>
      <c r="C362" s="128" t="s">
        <v>531</v>
      </c>
      <c r="D362" s="128" t="s">
        <v>1112</v>
      </c>
      <c r="E362" s="128" t="s">
        <v>1088</v>
      </c>
      <c r="F362" s="128" t="s">
        <v>1113</v>
      </c>
      <c r="G362" s="128" t="s">
        <v>1114</v>
      </c>
      <c r="H362" s="129" t="s">
        <v>1115</v>
      </c>
      <c r="I362" s="127"/>
      <c r="J362" s="72"/>
      <c r="K362" s="72"/>
      <c r="L362" s="15"/>
      <c r="M362" s="15"/>
      <c r="N362" s="15"/>
      <c r="O362" s="15"/>
      <c r="P362" s="15"/>
      <c r="Q362" s="15"/>
      <c r="R362" s="15"/>
      <c r="S362" s="15"/>
      <c r="T362" s="15"/>
      <c r="U362" s="15"/>
      <c r="V362" s="15"/>
      <c r="W362" s="15"/>
      <c r="X362" s="15"/>
      <c r="Y362" s="15"/>
      <c r="Z362" s="15"/>
    </row>
    <row r="363" ht="12.75" customHeight="1">
      <c r="A363" s="37" t="str">
        <f t="shared" si="2"/>
        <v/>
      </c>
      <c r="B363" s="128" t="s">
        <v>35</v>
      </c>
      <c r="C363" s="128" t="s">
        <v>531</v>
      </c>
      <c r="D363" s="128" t="s">
        <v>1116</v>
      </c>
      <c r="E363" s="128" t="s">
        <v>1088</v>
      </c>
      <c r="F363" s="128" t="s">
        <v>1117</v>
      </c>
      <c r="G363" s="128" t="s">
        <v>1118</v>
      </c>
      <c r="H363" s="129"/>
      <c r="I363" s="127"/>
      <c r="J363" s="72"/>
      <c r="K363" s="72"/>
      <c r="L363" s="15"/>
      <c r="M363" s="15"/>
      <c r="N363" s="15"/>
      <c r="O363" s="15"/>
      <c r="P363" s="15"/>
      <c r="Q363" s="15"/>
      <c r="R363" s="15"/>
      <c r="S363" s="15"/>
      <c r="T363" s="15"/>
      <c r="U363" s="15"/>
      <c r="V363" s="15"/>
      <c r="W363" s="15"/>
      <c r="X363" s="15"/>
      <c r="Y363" s="15"/>
      <c r="Z363" s="15"/>
    </row>
    <row r="364" ht="12.75" customHeight="1">
      <c r="A364" s="37" t="str">
        <f t="shared" si="2"/>
        <v>ST_315</v>
      </c>
      <c r="B364" s="128" t="s">
        <v>35</v>
      </c>
      <c r="C364" s="128" t="s">
        <v>531</v>
      </c>
      <c r="D364" s="128" t="s">
        <v>1119</v>
      </c>
      <c r="E364" s="128" t="s">
        <v>1088</v>
      </c>
      <c r="F364" s="128" t="s">
        <v>1120</v>
      </c>
      <c r="G364" s="128" t="s">
        <v>1121</v>
      </c>
      <c r="H364" s="129" t="s">
        <v>1122</v>
      </c>
      <c r="I364" s="127"/>
      <c r="J364" s="72"/>
      <c r="K364" s="72"/>
      <c r="L364" s="15"/>
      <c r="M364" s="15"/>
      <c r="N364" s="15"/>
      <c r="O364" s="15"/>
      <c r="P364" s="15"/>
      <c r="Q364" s="15"/>
      <c r="R364" s="15"/>
      <c r="S364" s="15"/>
      <c r="T364" s="15"/>
      <c r="U364" s="15"/>
      <c r="V364" s="15"/>
      <c r="W364" s="15"/>
      <c r="X364" s="15"/>
      <c r="Y364" s="15"/>
      <c r="Z364" s="15"/>
    </row>
    <row r="365" ht="12.75" customHeight="1">
      <c r="A365" s="37" t="str">
        <f t="shared" si="2"/>
        <v>ST_316</v>
      </c>
      <c r="B365" s="120" t="s">
        <v>35</v>
      </c>
      <c r="C365" s="120" t="s">
        <v>531</v>
      </c>
      <c r="D365" s="120" t="s">
        <v>1107</v>
      </c>
      <c r="E365" s="120" t="s">
        <v>1088</v>
      </c>
      <c r="F365" s="120" t="s">
        <v>1109</v>
      </c>
      <c r="G365" s="131" t="s">
        <v>1110</v>
      </c>
      <c r="H365" s="132" t="s">
        <v>1123</v>
      </c>
      <c r="I365" s="133"/>
      <c r="J365" s="134"/>
      <c r="K365" s="134"/>
      <c r="L365" s="15"/>
      <c r="M365" s="15"/>
      <c r="N365" s="15"/>
      <c r="O365" s="15"/>
      <c r="P365" s="15"/>
      <c r="Q365" s="15"/>
      <c r="R365" s="15"/>
      <c r="S365" s="15"/>
      <c r="T365" s="15"/>
      <c r="U365" s="15"/>
      <c r="V365" s="15"/>
      <c r="W365" s="15"/>
      <c r="X365" s="15"/>
      <c r="Y365" s="15"/>
      <c r="Z365" s="15"/>
    </row>
    <row r="366" ht="12.75" customHeight="1">
      <c r="A366" s="37" t="str">
        <f t="shared" si="2"/>
        <v>ST_317</v>
      </c>
      <c r="B366" s="32"/>
      <c r="C366" s="32"/>
      <c r="D366" s="32"/>
      <c r="E366" s="32"/>
      <c r="F366" s="32"/>
      <c r="G366" s="117" t="s">
        <v>1124</v>
      </c>
      <c r="H366" s="118" t="s">
        <v>1125</v>
      </c>
      <c r="I366" s="62"/>
      <c r="J366" s="63"/>
      <c r="K366" s="63"/>
      <c r="L366" s="15"/>
      <c r="M366" s="15"/>
      <c r="N366" s="15"/>
      <c r="O366" s="15"/>
      <c r="P366" s="15"/>
      <c r="Q366" s="15"/>
      <c r="R366" s="15"/>
      <c r="S366" s="15"/>
      <c r="T366" s="15"/>
      <c r="U366" s="15"/>
      <c r="V366" s="15"/>
      <c r="W366" s="15"/>
      <c r="X366" s="15"/>
      <c r="Y366" s="15"/>
      <c r="Z366" s="15"/>
    </row>
    <row r="367" ht="15.0" customHeight="1">
      <c r="A367" s="37" t="str">
        <f t="shared" si="2"/>
        <v/>
      </c>
      <c r="B367" s="135" t="s">
        <v>1126</v>
      </c>
      <c r="C367" s="122"/>
      <c r="D367" s="122"/>
      <c r="E367" s="122"/>
      <c r="F367" s="122"/>
      <c r="G367" s="122"/>
      <c r="H367" s="122"/>
      <c r="I367" s="122"/>
      <c r="J367" s="122"/>
      <c r="K367" s="123"/>
      <c r="L367" s="15"/>
      <c r="M367" s="15"/>
      <c r="N367" s="15"/>
      <c r="O367" s="15"/>
      <c r="P367" s="15"/>
      <c r="Q367" s="15"/>
      <c r="R367" s="15"/>
      <c r="S367" s="15"/>
      <c r="T367" s="15"/>
      <c r="U367" s="15"/>
      <c r="V367" s="86"/>
      <c r="W367" s="86"/>
      <c r="X367" s="86"/>
      <c r="Y367" s="86"/>
      <c r="Z367" s="86"/>
    </row>
    <row r="368" ht="19.5" customHeight="1">
      <c r="A368" s="37" t="str">
        <f t="shared" si="2"/>
        <v/>
      </c>
      <c r="B368" s="89" t="s">
        <v>1127</v>
      </c>
      <c r="C368" s="90"/>
      <c r="D368" s="90"/>
      <c r="E368" s="90"/>
      <c r="F368" s="90"/>
      <c r="G368" s="90"/>
      <c r="H368" s="90"/>
      <c r="I368" s="90"/>
      <c r="J368" s="90"/>
      <c r="K368" s="91"/>
      <c r="L368" s="15"/>
      <c r="M368" s="15"/>
      <c r="N368" s="15"/>
      <c r="O368" s="15"/>
      <c r="P368" s="15"/>
      <c r="Q368" s="15"/>
      <c r="R368" s="15"/>
      <c r="S368" s="15"/>
      <c r="T368" s="15"/>
      <c r="U368" s="15"/>
      <c r="V368" s="15"/>
      <c r="W368" s="15"/>
      <c r="X368" s="15"/>
      <c r="Y368" s="15"/>
      <c r="Z368" s="15"/>
    </row>
    <row r="369" ht="12.75" customHeight="1">
      <c r="A369" s="37" t="str">
        <f t="shared" si="2"/>
        <v>ST_318</v>
      </c>
      <c r="B369" s="131" t="s">
        <v>35</v>
      </c>
      <c r="C369" s="131" t="s">
        <v>37</v>
      </c>
      <c r="D369" s="131" t="s">
        <v>1128</v>
      </c>
      <c r="E369" s="131" t="s">
        <v>671</v>
      </c>
      <c r="F369" s="131" t="s">
        <v>1129</v>
      </c>
      <c r="G369" s="128" t="s">
        <v>1130</v>
      </c>
      <c r="H369" s="129" t="s">
        <v>1131</v>
      </c>
      <c r="I369" s="62"/>
      <c r="J369" s="63"/>
      <c r="K369" s="63"/>
      <c r="L369" s="15"/>
      <c r="M369" s="15"/>
      <c r="N369" s="15"/>
      <c r="O369" s="15"/>
      <c r="P369" s="15"/>
      <c r="Q369" s="15"/>
      <c r="R369" s="15"/>
      <c r="S369" s="15"/>
      <c r="T369" s="15"/>
      <c r="U369" s="15"/>
      <c r="V369" s="15"/>
      <c r="W369" s="15"/>
      <c r="X369" s="15"/>
      <c r="Y369" s="15"/>
      <c r="Z369" s="15"/>
    </row>
    <row r="370" ht="12.75" customHeight="1">
      <c r="A370" s="37" t="str">
        <f t="shared" si="2"/>
        <v>ST_319</v>
      </c>
      <c r="B370" s="32"/>
      <c r="C370" s="32"/>
      <c r="D370" s="32"/>
      <c r="E370" s="32"/>
      <c r="F370" s="32"/>
      <c r="G370" s="117" t="s">
        <v>1092</v>
      </c>
      <c r="H370" s="118" t="s">
        <v>1132</v>
      </c>
      <c r="I370" s="62"/>
      <c r="J370" s="63"/>
      <c r="K370" s="63"/>
      <c r="L370" s="15"/>
      <c r="M370" s="15"/>
      <c r="N370" s="15"/>
      <c r="O370" s="15"/>
      <c r="P370" s="15"/>
      <c r="Q370" s="15"/>
      <c r="R370" s="15"/>
      <c r="S370" s="15"/>
      <c r="T370" s="15"/>
      <c r="U370" s="15"/>
      <c r="V370" s="15"/>
      <c r="W370" s="15"/>
      <c r="X370" s="15"/>
      <c r="Y370" s="15"/>
      <c r="Z370" s="15"/>
    </row>
    <row r="371" ht="190.5" customHeight="1">
      <c r="A371" s="37" t="str">
        <f t="shared" si="2"/>
        <v>ST_320</v>
      </c>
      <c r="B371" s="117"/>
      <c r="C371" s="117"/>
      <c r="D371" s="117" t="s">
        <v>1133</v>
      </c>
      <c r="E371" s="117" t="s">
        <v>671</v>
      </c>
      <c r="F371" s="117" t="s">
        <v>1134</v>
      </c>
      <c r="G371" s="117" t="s">
        <v>1135</v>
      </c>
      <c r="H371" s="118" t="s">
        <v>1136</v>
      </c>
      <c r="I371" s="62"/>
      <c r="J371" s="63"/>
      <c r="K371" s="63"/>
      <c r="L371" s="15"/>
      <c r="M371" s="15"/>
      <c r="N371" s="15"/>
      <c r="O371" s="15"/>
      <c r="P371" s="15"/>
      <c r="Q371" s="15"/>
      <c r="R371" s="15"/>
      <c r="S371" s="15"/>
      <c r="T371" s="15"/>
      <c r="U371" s="15"/>
      <c r="V371" s="15"/>
      <c r="W371" s="15"/>
      <c r="X371" s="15"/>
      <c r="Y371" s="15"/>
      <c r="Z371" s="15"/>
    </row>
    <row r="372" ht="149.25" customHeight="1">
      <c r="A372" s="37" t="str">
        <f t="shared" si="2"/>
        <v>ST_321</v>
      </c>
      <c r="B372" s="117"/>
      <c r="C372" s="117"/>
      <c r="D372" s="117" t="s">
        <v>1133</v>
      </c>
      <c r="E372" s="117" t="s">
        <v>671</v>
      </c>
      <c r="F372" s="117" t="s">
        <v>1134</v>
      </c>
      <c r="G372" s="117" t="s">
        <v>1137</v>
      </c>
      <c r="H372" s="118" t="s">
        <v>1138</v>
      </c>
      <c r="I372" s="62"/>
      <c r="J372" s="63"/>
      <c r="K372" s="63"/>
      <c r="L372" s="15"/>
      <c r="M372" s="15"/>
      <c r="N372" s="15"/>
      <c r="O372" s="15"/>
      <c r="P372" s="15"/>
      <c r="Q372" s="15"/>
      <c r="R372" s="15"/>
      <c r="S372" s="15"/>
      <c r="T372" s="15"/>
      <c r="U372" s="15"/>
      <c r="V372" s="15"/>
      <c r="W372" s="15"/>
      <c r="X372" s="15"/>
      <c r="Y372" s="15"/>
      <c r="Z372" s="15"/>
    </row>
    <row r="373" ht="91.5" customHeight="1">
      <c r="A373" s="37" t="str">
        <f t="shared" si="2"/>
        <v>ST_322</v>
      </c>
      <c r="B373" s="120"/>
      <c r="C373" s="120"/>
      <c r="D373" s="120" t="s">
        <v>1139</v>
      </c>
      <c r="E373" s="120" t="s">
        <v>671</v>
      </c>
      <c r="F373" s="120" t="s">
        <v>1140</v>
      </c>
      <c r="G373" s="117" t="s">
        <v>1141</v>
      </c>
      <c r="H373" s="118" t="s">
        <v>1019</v>
      </c>
      <c r="I373" s="62"/>
      <c r="J373" s="63"/>
      <c r="K373" s="63"/>
      <c r="L373" s="15"/>
      <c r="M373" s="15"/>
      <c r="N373" s="15"/>
      <c r="O373" s="15"/>
      <c r="P373" s="15"/>
      <c r="Q373" s="15"/>
      <c r="R373" s="15"/>
      <c r="S373" s="15"/>
      <c r="T373" s="15"/>
      <c r="U373" s="15"/>
      <c r="V373" s="15"/>
      <c r="W373" s="15"/>
      <c r="X373" s="15"/>
      <c r="Y373" s="15"/>
      <c r="Z373" s="15"/>
    </row>
    <row r="374" ht="12.75" customHeight="1">
      <c r="A374" s="37" t="str">
        <f t="shared" si="2"/>
        <v>ST_323</v>
      </c>
      <c r="B374" s="73"/>
      <c r="C374" s="73"/>
      <c r="D374" s="73"/>
      <c r="E374" s="73"/>
      <c r="F374" s="73"/>
      <c r="G374" s="117" t="s">
        <v>1142</v>
      </c>
      <c r="H374" s="136" t="s">
        <v>1143</v>
      </c>
      <c r="I374" s="62"/>
      <c r="J374" s="63"/>
      <c r="K374" s="63"/>
      <c r="L374" s="15"/>
      <c r="M374" s="15"/>
      <c r="N374" s="15"/>
      <c r="O374" s="15"/>
      <c r="P374" s="15"/>
      <c r="Q374" s="15"/>
      <c r="R374" s="15"/>
      <c r="S374" s="15"/>
      <c r="T374" s="15"/>
      <c r="U374" s="15"/>
      <c r="V374" s="15"/>
      <c r="W374" s="15"/>
      <c r="X374" s="15"/>
      <c r="Y374" s="15"/>
      <c r="Z374" s="15"/>
    </row>
    <row r="375" ht="12.75" customHeight="1">
      <c r="A375" s="37" t="str">
        <f t="shared" si="2"/>
        <v>ST_324</v>
      </c>
      <c r="B375" s="32"/>
      <c r="C375" s="32"/>
      <c r="D375" s="32"/>
      <c r="E375" s="32"/>
      <c r="F375" s="32"/>
      <c r="G375" s="117" t="s">
        <v>299</v>
      </c>
      <c r="H375" s="118" t="s">
        <v>1144</v>
      </c>
      <c r="I375" s="62"/>
      <c r="J375" s="63"/>
      <c r="K375" s="63"/>
      <c r="L375" s="15"/>
      <c r="M375" s="15"/>
      <c r="N375" s="15"/>
      <c r="O375" s="15"/>
      <c r="P375" s="15"/>
      <c r="Q375" s="15"/>
      <c r="R375" s="15"/>
      <c r="S375" s="15"/>
      <c r="T375" s="15"/>
      <c r="U375" s="15"/>
      <c r="V375" s="15"/>
      <c r="W375" s="15"/>
      <c r="X375" s="15"/>
      <c r="Y375" s="15"/>
      <c r="Z375" s="15"/>
    </row>
    <row r="376" ht="12.75" customHeight="1">
      <c r="A376" s="37" t="str">
        <f t="shared" si="2"/>
        <v>ST_325</v>
      </c>
      <c r="B376" s="117" t="s">
        <v>35</v>
      </c>
      <c r="C376" s="117" t="s">
        <v>89</v>
      </c>
      <c r="D376" s="117" t="s">
        <v>1145</v>
      </c>
      <c r="E376" s="117" t="s">
        <v>1146</v>
      </c>
      <c r="F376" s="117" t="s">
        <v>1147</v>
      </c>
      <c r="G376" s="117" t="s">
        <v>1148</v>
      </c>
      <c r="H376" s="118" t="s">
        <v>1149</v>
      </c>
      <c r="I376" s="62"/>
      <c r="J376" s="63"/>
      <c r="K376" s="63"/>
      <c r="L376" s="15"/>
      <c r="M376" s="15"/>
      <c r="N376" s="15"/>
      <c r="O376" s="15"/>
      <c r="P376" s="15"/>
      <c r="Q376" s="15"/>
      <c r="R376" s="15"/>
      <c r="S376" s="15"/>
      <c r="T376" s="15"/>
      <c r="U376" s="15"/>
      <c r="V376" s="15"/>
      <c r="W376" s="15"/>
      <c r="X376" s="15"/>
      <c r="Y376" s="15"/>
      <c r="Z376" s="15"/>
    </row>
    <row r="377" ht="12.75" customHeight="1">
      <c r="A377" s="37" t="str">
        <f t="shared" si="2"/>
        <v>ST_326</v>
      </c>
      <c r="B377" s="117" t="s">
        <v>35</v>
      </c>
      <c r="C377" s="117" t="s">
        <v>89</v>
      </c>
      <c r="D377" s="117" t="s">
        <v>1145</v>
      </c>
      <c r="E377" s="117" t="s">
        <v>1150</v>
      </c>
      <c r="F377" s="117" t="s">
        <v>1147</v>
      </c>
      <c r="G377" s="117" t="s">
        <v>1148</v>
      </c>
      <c r="H377" s="118" t="s">
        <v>1151</v>
      </c>
      <c r="I377" s="62"/>
      <c r="J377" s="63"/>
      <c r="K377" s="63"/>
      <c r="L377" s="15"/>
      <c r="M377" s="15"/>
      <c r="N377" s="15"/>
      <c r="O377" s="15"/>
      <c r="P377" s="15"/>
      <c r="Q377" s="15"/>
      <c r="R377" s="15"/>
      <c r="S377" s="15"/>
      <c r="T377" s="15"/>
      <c r="U377" s="15"/>
      <c r="V377" s="15"/>
      <c r="W377" s="15"/>
      <c r="X377" s="15"/>
      <c r="Y377" s="15"/>
      <c r="Z377" s="15"/>
    </row>
    <row r="378" ht="12.75" customHeight="1">
      <c r="A378" s="37" t="str">
        <f t="shared" si="2"/>
        <v>ST_327</v>
      </c>
      <c r="B378" s="117" t="s">
        <v>35</v>
      </c>
      <c r="C378" s="117" t="s">
        <v>89</v>
      </c>
      <c r="D378" s="120" t="s">
        <v>1152</v>
      </c>
      <c r="E378" s="117" t="s">
        <v>1150</v>
      </c>
      <c r="F378" s="120" t="s">
        <v>1153</v>
      </c>
      <c r="G378" s="117" t="s">
        <v>1154</v>
      </c>
      <c r="H378" s="118" t="s">
        <v>1155</v>
      </c>
      <c r="I378" s="62"/>
      <c r="J378" s="63"/>
      <c r="K378" s="63"/>
      <c r="L378" s="15"/>
      <c r="M378" s="15"/>
      <c r="N378" s="15"/>
      <c r="O378" s="15"/>
      <c r="P378" s="15"/>
      <c r="Q378" s="15"/>
      <c r="R378" s="15"/>
      <c r="S378" s="15"/>
      <c r="T378" s="15"/>
      <c r="U378" s="15"/>
      <c r="V378" s="15"/>
      <c r="W378" s="15"/>
      <c r="X378" s="15"/>
      <c r="Y378" s="15"/>
      <c r="Z378" s="15"/>
    </row>
    <row r="379" ht="91.5" customHeight="1">
      <c r="A379" s="37" t="str">
        <f t="shared" si="2"/>
        <v>ST_328</v>
      </c>
      <c r="B379" s="120" t="s">
        <v>35</v>
      </c>
      <c r="C379" s="120" t="s">
        <v>89</v>
      </c>
      <c r="D379" s="120" t="s">
        <v>1156</v>
      </c>
      <c r="E379" s="120" t="s">
        <v>1150</v>
      </c>
      <c r="F379" s="120" t="s">
        <v>1157</v>
      </c>
      <c r="G379" s="117" t="s">
        <v>1158</v>
      </c>
      <c r="H379" s="118" t="s">
        <v>1019</v>
      </c>
      <c r="I379" s="62"/>
      <c r="J379" s="63"/>
      <c r="K379" s="63"/>
      <c r="L379" s="15"/>
      <c r="M379" s="15"/>
      <c r="N379" s="15"/>
      <c r="O379" s="15"/>
      <c r="P379" s="15"/>
      <c r="Q379" s="15"/>
      <c r="R379" s="15"/>
      <c r="S379" s="15"/>
      <c r="T379" s="15"/>
      <c r="U379" s="15"/>
      <c r="V379" s="15"/>
      <c r="W379" s="15"/>
      <c r="X379" s="15"/>
      <c r="Y379" s="15"/>
      <c r="Z379" s="15"/>
    </row>
    <row r="380" ht="12.75" customHeight="1">
      <c r="A380" s="37" t="str">
        <f t="shared" si="2"/>
        <v>ST_329</v>
      </c>
      <c r="B380" s="73"/>
      <c r="C380" s="73"/>
      <c r="D380" s="73"/>
      <c r="E380" s="73"/>
      <c r="F380" s="73"/>
      <c r="G380" s="117" t="s">
        <v>1142</v>
      </c>
      <c r="H380" s="136" t="s">
        <v>1143</v>
      </c>
      <c r="I380" s="62"/>
      <c r="J380" s="63"/>
      <c r="K380" s="63"/>
      <c r="L380" s="15"/>
      <c r="M380" s="15"/>
      <c r="N380" s="15"/>
      <c r="O380" s="15"/>
      <c r="P380" s="15"/>
      <c r="Q380" s="15"/>
      <c r="R380" s="15"/>
      <c r="S380" s="15"/>
      <c r="T380" s="15"/>
      <c r="U380" s="15"/>
      <c r="V380" s="15"/>
      <c r="W380" s="15"/>
      <c r="X380" s="15"/>
      <c r="Y380" s="15"/>
      <c r="Z380" s="15"/>
    </row>
    <row r="381" ht="12.75" customHeight="1">
      <c r="A381" s="37" t="str">
        <f t="shared" si="2"/>
        <v>ST_330</v>
      </c>
      <c r="B381" s="32"/>
      <c r="C381" s="32"/>
      <c r="D381" s="32"/>
      <c r="E381" s="32"/>
      <c r="F381" s="32"/>
      <c r="G381" s="117" t="s">
        <v>1020</v>
      </c>
      <c r="H381" s="118" t="s">
        <v>1159</v>
      </c>
      <c r="I381" s="62"/>
      <c r="J381" s="63"/>
      <c r="K381" s="63"/>
      <c r="L381" s="15"/>
      <c r="M381" s="15"/>
      <c r="N381" s="15"/>
      <c r="O381" s="15"/>
      <c r="P381" s="15"/>
      <c r="Q381" s="15"/>
      <c r="R381" s="15"/>
      <c r="S381" s="15"/>
      <c r="T381" s="15"/>
      <c r="U381" s="15"/>
      <c r="V381" s="15"/>
      <c r="W381" s="15"/>
      <c r="X381" s="15"/>
      <c r="Y381" s="15"/>
      <c r="Z381" s="15"/>
    </row>
    <row r="382" ht="91.5" customHeight="1">
      <c r="A382" s="37" t="str">
        <f t="shared" si="2"/>
        <v>ST_331</v>
      </c>
      <c r="B382" s="120" t="s">
        <v>35</v>
      </c>
      <c r="C382" s="120" t="s">
        <v>89</v>
      </c>
      <c r="D382" s="120" t="s">
        <v>1160</v>
      </c>
      <c r="E382" s="120" t="s">
        <v>1150</v>
      </c>
      <c r="F382" s="120" t="s">
        <v>1161</v>
      </c>
      <c r="G382" s="117" t="s">
        <v>1162</v>
      </c>
      <c r="H382" s="118" t="s">
        <v>1019</v>
      </c>
      <c r="I382" s="62"/>
      <c r="J382" s="63"/>
      <c r="K382" s="63"/>
      <c r="L382" s="15"/>
      <c r="M382" s="15"/>
      <c r="N382" s="15"/>
      <c r="O382" s="15"/>
      <c r="P382" s="15"/>
      <c r="Q382" s="15"/>
      <c r="R382" s="15"/>
      <c r="S382" s="15"/>
      <c r="T382" s="15"/>
      <c r="U382" s="15"/>
      <c r="V382" s="15"/>
      <c r="W382" s="15"/>
      <c r="X382" s="15"/>
      <c r="Y382" s="15"/>
      <c r="Z382" s="15"/>
    </row>
    <row r="383" ht="12.75" customHeight="1">
      <c r="A383" s="37" t="str">
        <f t="shared" si="2"/>
        <v>ST_332</v>
      </c>
      <c r="B383" s="73"/>
      <c r="C383" s="73"/>
      <c r="D383" s="73"/>
      <c r="E383" s="73"/>
      <c r="F383" s="73"/>
      <c r="G383" s="117" t="s">
        <v>1142</v>
      </c>
      <c r="H383" s="136" t="s">
        <v>1163</v>
      </c>
      <c r="I383" s="62"/>
      <c r="J383" s="63"/>
      <c r="K383" s="63"/>
      <c r="L383" s="15"/>
      <c r="M383" s="15"/>
      <c r="N383" s="15"/>
      <c r="O383" s="15"/>
      <c r="P383" s="15"/>
      <c r="Q383" s="15"/>
      <c r="R383" s="15"/>
      <c r="S383" s="15"/>
      <c r="T383" s="15"/>
      <c r="U383" s="15"/>
      <c r="V383" s="15"/>
      <c r="W383" s="15"/>
      <c r="X383" s="15"/>
      <c r="Y383" s="15"/>
      <c r="Z383" s="15"/>
    </row>
    <row r="384" ht="12.75" customHeight="1">
      <c r="A384" s="37" t="str">
        <f t="shared" si="2"/>
        <v>ST_333</v>
      </c>
      <c r="B384" s="32"/>
      <c r="C384" s="32"/>
      <c r="D384" s="32"/>
      <c r="E384" s="32"/>
      <c r="F384" s="32"/>
      <c r="G384" s="117" t="s">
        <v>1020</v>
      </c>
      <c r="H384" s="118" t="s">
        <v>1164</v>
      </c>
      <c r="I384" s="62"/>
      <c r="J384" s="63"/>
      <c r="K384" s="63"/>
      <c r="L384" s="15"/>
      <c r="M384" s="15"/>
      <c r="N384" s="15"/>
      <c r="O384" s="15"/>
      <c r="P384" s="15"/>
      <c r="Q384" s="15"/>
      <c r="R384" s="15"/>
      <c r="S384" s="15"/>
      <c r="T384" s="15"/>
      <c r="U384" s="15"/>
      <c r="V384" s="15"/>
      <c r="W384" s="15"/>
      <c r="X384" s="15"/>
      <c r="Y384" s="15"/>
      <c r="Z384" s="15"/>
    </row>
    <row r="385" ht="12.75" customHeight="1">
      <c r="A385" s="37" t="str">
        <f t="shared" si="2"/>
        <v>ST_334</v>
      </c>
      <c r="B385" s="117" t="s">
        <v>35</v>
      </c>
      <c r="C385" s="117" t="s">
        <v>37</v>
      </c>
      <c r="D385" s="117" t="s">
        <v>1165</v>
      </c>
      <c r="E385" s="117" t="s">
        <v>1166</v>
      </c>
      <c r="F385" s="117" t="s">
        <v>1167</v>
      </c>
      <c r="G385" s="117" t="s">
        <v>1148</v>
      </c>
      <c r="H385" s="118" t="s">
        <v>1168</v>
      </c>
      <c r="I385" s="62"/>
      <c r="J385" s="63"/>
      <c r="K385" s="63"/>
      <c r="L385" s="15"/>
      <c r="M385" s="15"/>
      <c r="N385" s="15"/>
      <c r="O385" s="15"/>
      <c r="P385" s="15"/>
      <c r="Q385" s="15"/>
      <c r="R385" s="15"/>
      <c r="S385" s="15"/>
      <c r="T385" s="15"/>
      <c r="U385" s="15"/>
      <c r="V385" s="15"/>
      <c r="W385" s="15"/>
      <c r="X385" s="15"/>
      <c r="Y385" s="15"/>
      <c r="Z385" s="15"/>
    </row>
    <row r="386" ht="12.75" customHeight="1">
      <c r="A386" s="37" t="str">
        <f t="shared" si="2"/>
        <v>ST_335</v>
      </c>
      <c r="B386" s="120" t="s">
        <v>35</v>
      </c>
      <c r="C386" s="120" t="s">
        <v>37</v>
      </c>
      <c r="D386" s="120" t="s">
        <v>1169</v>
      </c>
      <c r="E386" s="120" t="s">
        <v>1150</v>
      </c>
      <c r="F386" s="120" t="s">
        <v>1170</v>
      </c>
      <c r="G386" s="117" t="s">
        <v>1171</v>
      </c>
      <c r="H386" s="118" t="s">
        <v>1172</v>
      </c>
      <c r="I386" s="62"/>
      <c r="J386" s="63"/>
      <c r="K386" s="63"/>
      <c r="L386" s="15"/>
      <c r="M386" s="15"/>
      <c r="N386" s="15"/>
      <c r="O386" s="15"/>
      <c r="P386" s="15"/>
      <c r="Q386" s="15"/>
      <c r="R386" s="15"/>
      <c r="S386" s="15"/>
      <c r="T386" s="15"/>
      <c r="U386" s="15"/>
      <c r="V386" s="15"/>
      <c r="W386" s="15"/>
      <c r="X386" s="15"/>
      <c r="Y386" s="15"/>
      <c r="Z386" s="15"/>
    </row>
    <row r="387" ht="12.75" customHeight="1">
      <c r="A387" s="37" t="str">
        <f t="shared" si="2"/>
        <v>ST_336</v>
      </c>
      <c r="B387" s="73"/>
      <c r="C387" s="73"/>
      <c r="D387" s="73"/>
      <c r="E387" s="73"/>
      <c r="F387" s="73"/>
      <c r="G387" s="117" t="s">
        <v>1173</v>
      </c>
      <c r="H387" s="118" t="s">
        <v>1174</v>
      </c>
      <c r="I387" s="62"/>
      <c r="J387" s="63"/>
      <c r="K387" s="63"/>
      <c r="L387" s="15"/>
      <c r="M387" s="15"/>
      <c r="N387" s="15"/>
      <c r="O387" s="15"/>
      <c r="P387" s="15"/>
      <c r="Q387" s="15"/>
      <c r="R387" s="15"/>
      <c r="S387" s="15"/>
      <c r="T387" s="15"/>
      <c r="U387" s="15"/>
      <c r="V387" s="15"/>
      <c r="W387" s="15"/>
      <c r="X387" s="15"/>
      <c r="Y387" s="15"/>
      <c r="Z387" s="15"/>
    </row>
    <row r="388" ht="12.75" customHeight="1">
      <c r="A388" s="37" t="str">
        <f t="shared" si="2"/>
        <v>ST_337</v>
      </c>
      <c r="B388" s="73"/>
      <c r="C388" s="73"/>
      <c r="D388" s="73"/>
      <c r="E388" s="73"/>
      <c r="F388" s="73"/>
      <c r="G388" s="117" t="s">
        <v>1175</v>
      </c>
      <c r="H388" s="136" t="s">
        <v>1176</v>
      </c>
      <c r="I388" s="62"/>
      <c r="J388" s="63"/>
      <c r="K388" s="63"/>
      <c r="L388" s="15"/>
      <c r="M388" s="15"/>
      <c r="N388" s="15"/>
      <c r="O388" s="15"/>
      <c r="P388" s="15"/>
      <c r="Q388" s="15"/>
      <c r="R388" s="15"/>
      <c r="S388" s="15"/>
      <c r="T388" s="15"/>
      <c r="U388" s="15"/>
      <c r="V388" s="15"/>
      <c r="W388" s="15"/>
      <c r="X388" s="15"/>
      <c r="Y388" s="15"/>
      <c r="Z388" s="15"/>
    </row>
    <row r="389" ht="12.75" customHeight="1">
      <c r="A389" s="37" t="str">
        <f t="shared" si="2"/>
        <v>ST_338</v>
      </c>
      <c r="B389" s="32"/>
      <c r="C389" s="32"/>
      <c r="D389" s="32"/>
      <c r="E389" s="32"/>
      <c r="F389" s="32"/>
      <c r="G389" s="117" t="s">
        <v>1020</v>
      </c>
      <c r="H389" s="118" t="s">
        <v>1177</v>
      </c>
      <c r="I389" s="62"/>
      <c r="J389" s="63"/>
      <c r="K389" s="63"/>
      <c r="L389" s="15"/>
      <c r="M389" s="15"/>
      <c r="N389" s="15"/>
      <c r="O389" s="15"/>
      <c r="P389" s="15"/>
      <c r="Q389" s="15"/>
      <c r="R389" s="15"/>
      <c r="S389" s="15"/>
      <c r="T389" s="15"/>
      <c r="U389" s="15"/>
      <c r="V389" s="15"/>
      <c r="W389" s="15"/>
      <c r="X389" s="15"/>
      <c r="Y389" s="15"/>
      <c r="Z389" s="15"/>
    </row>
    <row r="390" ht="12.75" customHeight="1">
      <c r="A390" s="37" t="str">
        <f t="shared" si="2"/>
        <v>ST_339</v>
      </c>
      <c r="B390" s="117" t="s">
        <v>35</v>
      </c>
      <c r="C390" s="117" t="s">
        <v>37</v>
      </c>
      <c r="D390" s="117" t="s">
        <v>1178</v>
      </c>
      <c r="E390" s="117" t="s">
        <v>1166</v>
      </c>
      <c r="F390" s="117" t="s">
        <v>1179</v>
      </c>
      <c r="G390" s="117" t="s">
        <v>1180</v>
      </c>
      <c r="H390" s="118" t="s">
        <v>1181</v>
      </c>
      <c r="I390" s="62"/>
      <c r="J390" s="63"/>
      <c r="K390" s="63"/>
      <c r="L390" s="15"/>
      <c r="M390" s="15"/>
      <c r="N390" s="15"/>
      <c r="O390" s="15"/>
      <c r="P390" s="15"/>
      <c r="Q390" s="15"/>
      <c r="R390" s="15"/>
      <c r="S390" s="15"/>
      <c r="T390" s="15"/>
      <c r="U390" s="15"/>
      <c r="V390" s="15"/>
      <c r="W390" s="15"/>
      <c r="X390" s="15"/>
      <c r="Y390" s="15"/>
      <c r="Z390" s="15"/>
    </row>
    <row r="391" ht="19.5" customHeight="1">
      <c r="A391" s="37" t="str">
        <f t="shared" si="2"/>
        <v/>
      </c>
      <c r="B391" s="89" t="s">
        <v>1182</v>
      </c>
      <c r="C391" s="90"/>
      <c r="D391" s="90"/>
      <c r="E391" s="90"/>
      <c r="F391" s="90"/>
      <c r="G391" s="90"/>
      <c r="H391" s="90"/>
      <c r="I391" s="90"/>
      <c r="J391" s="90"/>
      <c r="K391" s="91"/>
      <c r="L391" s="15"/>
      <c r="M391" s="15"/>
      <c r="N391" s="15"/>
      <c r="O391" s="15"/>
      <c r="P391" s="15"/>
      <c r="Q391" s="15"/>
      <c r="R391" s="15"/>
      <c r="S391" s="15"/>
      <c r="T391" s="15"/>
      <c r="U391" s="15"/>
      <c r="V391" s="15"/>
      <c r="W391" s="15"/>
      <c r="X391" s="15"/>
      <c r="Y391" s="15"/>
      <c r="Z391" s="15"/>
    </row>
    <row r="392" ht="12.75" customHeight="1">
      <c r="A392" s="37" t="str">
        <f t="shared" si="2"/>
        <v>ST_340</v>
      </c>
      <c r="B392" s="131" t="s">
        <v>35</v>
      </c>
      <c r="C392" s="131" t="s">
        <v>37</v>
      </c>
      <c r="D392" s="131" t="s">
        <v>1128</v>
      </c>
      <c r="E392" s="131" t="s">
        <v>671</v>
      </c>
      <c r="F392" s="131" t="s">
        <v>1183</v>
      </c>
      <c r="G392" s="128" t="s">
        <v>1184</v>
      </c>
      <c r="H392" s="129" t="s">
        <v>1185</v>
      </c>
      <c r="I392" s="62"/>
      <c r="J392" s="63"/>
      <c r="K392" s="63"/>
      <c r="L392" s="15"/>
      <c r="M392" s="15"/>
      <c r="N392" s="15"/>
      <c r="O392" s="15"/>
      <c r="P392" s="15"/>
      <c r="Q392" s="15"/>
      <c r="R392" s="15"/>
      <c r="S392" s="15"/>
      <c r="T392" s="15"/>
      <c r="U392" s="15"/>
      <c r="V392" s="15"/>
      <c r="W392" s="15"/>
      <c r="X392" s="15"/>
      <c r="Y392" s="15"/>
      <c r="Z392" s="15"/>
    </row>
    <row r="393" ht="12.75" customHeight="1">
      <c r="A393" s="37" t="str">
        <f t="shared" si="2"/>
        <v>ST_341</v>
      </c>
      <c r="B393" s="32"/>
      <c r="C393" s="32"/>
      <c r="D393" s="32"/>
      <c r="E393" s="32"/>
      <c r="F393" s="32"/>
      <c r="G393" s="117" t="s">
        <v>1092</v>
      </c>
      <c r="H393" s="118" t="s">
        <v>1186</v>
      </c>
      <c r="I393" s="62"/>
      <c r="J393" s="63"/>
      <c r="K393" s="63"/>
      <c r="L393" s="15"/>
      <c r="M393" s="15"/>
      <c r="N393" s="15"/>
      <c r="O393" s="15"/>
      <c r="P393" s="15"/>
      <c r="Q393" s="15"/>
      <c r="R393" s="15"/>
      <c r="S393" s="15"/>
      <c r="T393" s="15"/>
      <c r="U393" s="15"/>
      <c r="V393" s="15"/>
      <c r="W393" s="15"/>
      <c r="X393" s="15"/>
      <c r="Y393" s="15"/>
      <c r="Z393" s="15"/>
    </row>
    <row r="394" ht="12.75" customHeight="1">
      <c r="A394" s="37" t="str">
        <f t="shared" si="2"/>
        <v>ST_342</v>
      </c>
      <c r="B394" s="117"/>
      <c r="C394" s="117"/>
      <c r="D394" s="117" t="s">
        <v>1133</v>
      </c>
      <c r="E394" s="117" t="s">
        <v>671</v>
      </c>
      <c r="F394" s="117" t="s">
        <v>1134</v>
      </c>
      <c r="G394" s="117" t="s">
        <v>1187</v>
      </c>
      <c r="H394" s="118" t="s">
        <v>1188</v>
      </c>
      <c r="I394" s="137"/>
      <c r="J394" s="63"/>
      <c r="K394" s="63"/>
      <c r="L394" s="15"/>
      <c r="M394" s="15"/>
      <c r="N394" s="15"/>
      <c r="O394" s="15"/>
      <c r="P394" s="15"/>
      <c r="Q394" s="15"/>
      <c r="R394" s="15"/>
      <c r="S394" s="15"/>
      <c r="T394" s="15"/>
      <c r="U394" s="15"/>
      <c r="V394" s="15"/>
      <c r="W394" s="15"/>
      <c r="X394" s="15"/>
      <c r="Y394" s="15"/>
      <c r="Z394" s="15"/>
    </row>
    <row r="395" ht="12.75" customHeight="1">
      <c r="A395" s="37" t="str">
        <f t="shared" si="2"/>
        <v>ST_343</v>
      </c>
      <c r="B395" s="117"/>
      <c r="C395" s="117"/>
      <c r="D395" s="117" t="s">
        <v>1133</v>
      </c>
      <c r="E395" s="117" t="s">
        <v>671</v>
      </c>
      <c r="F395" s="117" t="s">
        <v>1134</v>
      </c>
      <c r="G395" s="117" t="s">
        <v>1189</v>
      </c>
      <c r="H395" s="118" t="s">
        <v>1190</v>
      </c>
      <c r="I395" s="137"/>
      <c r="J395" s="63"/>
      <c r="K395" s="63"/>
      <c r="L395" s="15"/>
      <c r="M395" s="15"/>
      <c r="N395" s="15"/>
      <c r="O395" s="15"/>
      <c r="P395" s="15"/>
      <c r="Q395" s="15"/>
      <c r="R395" s="15"/>
      <c r="S395" s="15"/>
      <c r="T395" s="15"/>
      <c r="U395" s="15"/>
      <c r="V395" s="15"/>
      <c r="W395" s="15"/>
      <c r="X395" s="15"/>
      <c r="Y395" s="15"/>
      <c r="Z395" s="15"/>
    </row>
    <row r="396" ht="190.5" customHeight="1">
      <c r="A396" s="37" t="str">
        <f t="shared" si="2"/>
        <v>ST_344</v>
      </c>
      <c r="B396" s="120"/>
      <c r="C396" s="120"/>
      <c r="D396" s="120" t="s">
        <v>1139</v>
      </c>
      <c r="E396" s="120" t="s">
        <v>671</v>
      </c>
      <c r="F396" s="120" t="s">
        <v>1140</v>
      </c>
      <c r="G396" s="117" t="s">
        <v>1191</v>
      </c>
      <c r="H396" s="118" t="s">
        <v>1019</v>
      </c>
      <c r="I396" s="62"/>
      <c r="J396" s="63"/>
      <c r="K396" s="63"/>
      <c r="L396" s="15"/>
      <c r="M396" s="15"/>
      <c r="N396" s="15"/>
      <c r="O396" s="15"/>
      <c r="P396" s="15"/>
      <c r="Q396" s="15"/>
      <c r="R396" s="15"/>
      <c r="S396" s="15"/>
      <c r="T396" s="15"/>
      <c r="U396" s="15"/>
      <c r="V396" s="15"/>
      <c r="W396" s="15"/>
      <c r="X396" s="15"/>
      <c r="Y396" s="15"/>
      <c r="Z396" s="15"/>
    </row>
    <row r="397" ht="12.75" customHeight="1">
      <c r="A397" s="37" t="str">
        <f t="shared" si="2"/>
        <v>ST_345</v>
      </c>
      <c r="B397" s="73"/>
      <c r="C397" s="73"/>
      <c r="D397" s="73"/>
      <c r="E397" s="73"/>
      <c r="F397" s="73"/>
      <c r="G397" s="117" t="s">
        <v>1142</v>
      </c>
      <c r="H397" s="136" t="s">
        <v>1143</v>
      </c>
      <c r="I397" s="62"/>
      <c r="J397" s="63"/>
      <c r="K397" s="63"/>
      <c r="L397" s="15"/>
      <c r="M397" s="15"/>
      <c r="N397" s="15"/>
      <c r="O397" s="15"/>
      <c r="P397" s="15"/>
      <c r="Q397" s="15"/>
      <c r="R397" s="15"/>
      <c r="S397" s="15"/>
      <c r="T397" s="15"/>
      <c r="U397" s="15"/>
      <c r="V397" s="15"/>
      <c r="W397" s="15"/>
      <c r="X397" s="15"/>
      <c r="Y397" s="15"/>
      <c r="Z397" s="15"/>
    </row>
    <row r="398" ht="12.75" customHeight="1">
      <c r="A398" s="37" t="str">
        <f t="shared" si="2"/>
        <v>ST_346</v>
      </c>
      <c r="B398" s="32"/>
      <c r="C398" s="32"/>
      <c r="D398" s="32"/>
      <c r="E398" s="32"/>
      <c r="F398" s="32"/>
      <c r="G398" s="117" t="s">
        <v>299</v>
      </c>
      <c r="H398" s="118" t="s">
        <v>1144</v>
      </c>
      <c r="I398" s="62"/>
      <c r="J398" s="63"/>
      <c r="K398" s="63"/>
      <c r="L398" s="15"/>
      <c r="M398" s="15"/>
      <c r="N398" s="15"/>
      <c r="O398" s="15"/>
      <c r="P398" s="15"/>
      <c r="Q398" s="15"/>
      <c r="R398" s="15"/>
      <c r="S398" s="15"/>
      <c r="T398" s="15"/>
      <c r="U398" s="15"/>
      <c r="V398" s="15"/>
      <c r="W398" s="15"/>
      <c r="X398" s="15"/>
      <c r="Y398" s="15"/>
      <c r="Z398" s="15"/>
    </row>
    <row r="399" ht="12.75" customHeight="1">
      <c r="A399" s="37" t="str">
        <f t="shared" si="2"/>
        <v>ST_347</v>
      </c>
      <c r="B399" s="117" t="s">
        <v>35</v>
      </c>
      <c r="C399" s="117" t="s">
        <v>89</v>
      </c>
      <c r="D399" s="117" t="s">
        <v>1145</v>
      </c>
      <c r="E399" s="117" t="s">
        <v>1146</v>
      </c>
      <c r="F399" s="117" t="s">
        <v>1147</v>
      </c>
      <c r="G399" s="117" t="s">
        <v>1148</v>
      </c>
      <c r="H399" s="118" t="s">
        <v>1149</v>
      </c>
      <c r="I399" s="62"/>
      <c r="J399" s="63"/>
      <c r="K399" s="63"/>
      <c r="L399" s="15"/>
      <c r="M399" s="15"/>
      <c r="N399" s="15"/>
      <c r="O399" s="15"/>
      <c r="P399" s="15"/>
      <c r="Q399" s="15"/>
      <c r="R399" s="15"/>
      <c r="S399" s="15"/>
      <c r="T399" s="15"/>
      <c r="U399" s="15"/>
      <c r="V399" s="15"/>
      <c r="W399" s="15"/>
      <c r="X399" s="15"/>
      <c r="Y399" s="15"/>
      <c r="Z399" s="15"/>
    </row>
    <row r="400" ht="12.75" customHeight="1">
      <c r="A400" s="37" t="str">
        <f t="shared" si="2"/>
        <v>ST_348</v>
      </c>
      <c r="B400" s="117" t="s">
        <v>35</v>
      </c>
      <c r="C400" s="117" t="s">
        <v>89</v>
      </c>
      <c r="D400" s="117" t="s">
        <v>1145</v>
      </c>
      <c r="E400" s="117" t="s">
        <v>1150</v>
      </c>
      <c r="F400" s="117" t="s">
        <v>1147</v>
      </c>
      <c r="G400" s="117" t="s">
        <v>1148</v>
      </c>
      <c r="H400" s="118" t="s">
        <v>1192</v>
      </c>
      <c r="I400" s="62"/>
      <c r="J400" s="63"/>
      <c r="K400" s="63"/>
      <c r="L400" s="15"/>
      <c r="M400" s="15"/>
      <c r="N400" s="15"/>
      <c r="O400" s="15"/>
      <c r="P400" s="15"/>
      <c r="Q400" s="15"/>
      <c r="R400" s="15"/>
      <c r="S400" s="15"/>
      <c r="T400" s="15"/>
      <c r="U400" s="15"/>
      <c r="V400" s="15"/>
      <c r="W400" s="15"/>
      <c r="X400" s="15"/>
      <c r="Y400" s="15"/>
      <c r="Z400" s="15"/>
    </row>
    <row r="401" ht="12.75" customHeight="1">
      <c r="A401" s="37" t="str">
        <f t="shared" si="2"/>
        <v>ST_349</v>
      </c>
      <c r="B401" s="117" t="s">
        <v>35</v>
      </c>
      <c r="C401" s="117" t="s">
        <v>89</v>
      </c>
      <c r="D401" s="120" t="s">
        <v>1152</v>
      </c>
      <c r="E401" s="117" t="s">
        <v>1150</v>
      </c>
      <c r="F401" s="120" t="s">
        <v>1153</v>
      </c>
      <c r="G401" s="117" t="s">
        <v>1193</v>
      </c>
      <c r="H401" s="118" t="s">
        <v>1194</v>
      </c>
      <c r="I401" s="62"/>
      <c r="J401" s="63"/>
      <c r="K401" s="63"/>
      <c r="L401" s="15"/>
      <c r="M401" s="15"/>
      <c r="N401" s="15"/>
      <c r="O401" s="15"/>
      <c r="P401" s="15"/>
      <c r="Q401" s="15"/>
      <c r="R401" s="15"/>
      <c r="S401" s="15"/>
      <c r="T401" s="15"/>
      <c r="U401" s="15"/>
      <c r="V401" s="15"/>
      <c r="W401" s="15"/>
      <c r="X401" s="15"/>
      <c r="Y401" s="15"/>
      <c r="Z401" s="15"/>
    </row>
    <row r="402" ht="51.0" customHeight="1">
      <c r="A402" s="37" t="str">
        <f t="shared" si="2"/>
        <v>ST_350</v>
      </c>
      <c r="B402" s="120" t="s">
        <v>35</v>
      </c>
      <c r="C402" s="120" t="s">
        <v>89</v>
      </c>
      <c r="D402" s="120" t="s">
        <v>1156</v>
      </c>
      <c r="E402" s="120" t="s">
        <v>1150</v>
      </c>
      <c r="F402" s="120" t="s">
        <v>1157</v>
      </c>
      <c r="G402" s="117" t="s">
        <v>1158</v>
      </c>
      <c r="H402" s="118" t="s">
        <v>1019</v>
      </c>
      <c r="I402" s="62"/>
      <c r="J402" s="63"/>
      <c r="K402" s="63"/>
      <c r="L402" s="15"/>
      <c r="M402" s="15"/>
      <c r="N402" s="15"/>
      <c r="O402" s="15"/>
      <c r="P402" s="15"/>
      <c r="Q402" s="15"/>
      <c r="R402" s="15"/>
      <c r="S402" s="15"/>
      <c r="T402" s="15"/>
      <c r="U402" s="15"/>
      <c r="V402" s="15"/>
      <c r="W402" s="15"/>
      <c r="X402" s="15"/>
      <c r="Y402" s="15"/>
      <c r="Z402" s="15"/>
    </row>
    <row r="403" ht="12.75" customHeight="1">
      <c r="A403" s="37" t="str">
        <f t="shared" si="2"/>
        <v>ST_351</v>
      </c>
      <c r="B403" s="73"/>
      <c r="C403" s="73"/>
      <c r="D403" s="73"/>
      <c r="E403" s="73"/>
      <c r="F403" s="73"/>
      <c r="G403" s="117" t="s">
        <v>1142</v>
      </c>
      <c r="H403" s="136" t="s">
        <v>1143</v>
      </c>
      <c r="I403" s="62"/>
      <c r="J403" s="63"/>
      <c r="K403" s="63"/>
      <c r="L403" s="15"/>
      <c r="M403" s="15"/>
      <c r="N403" s="15"/>
      <c r="O403" s="15"/>
      <c r="P403" s="15"/>
      <c r="Q403" s="15"/>
      <c r="R403" s="15"/>
      <c r="S403" s="15"/>
      <c r="T403" s="15"/>
      <c r="U403" s="15"/>
      <c r="V403" s="15"/>
      <c r="W403" s="15"/>
      <c r="X403" s="15"/>
      <c r="Y403" s="15"/>
      <c r="Z403" s="15"/>
    </row>
    <row r="404" ht="12.75" customHeight="1">
      <c r="A404" s="37" t="str">
        <f t="shared" si="2"/>
        <v>ST_352</v>
      </c>
      <c r="B404" s="32"/>
      <c r="C404" s="32"/>
      <c r="D404" s="32"/>
      <c r="E404" s="32"/>
      <c r="F404" s="32"/>
      <c r="G404" s="117" t="s">
        <v>1020</v>
      </c>
      <c r="H404" s="118" t="s">
        <v>1159</v>
      </c>
      <c r="I404" s="62"/>
      <c r="J404" s="63"/>
      <c r="K404" s="63"/>
      <c r="L404" s="15"/>
      <c r="M404" s="15"/>
      <c r="N404" s="15"/>
      <c r="O404" s="15"/>
      <c r="P404" s="15"/>
      <c r="Q404" s="15"/>
      <c r="R404" s="15"/>
      <c r="S404" s="15"/>
      <c r="T404" s="15"/>
      <c r="U404" s="15"/>
      <c r="V404" s="15"/>
      <c r="W404" s="15"/>
      <c r="X404" s="15"/>
      <c r="Y404" s="15"/>
      <c r="Z404" s="15"/>
    </row>
    <row r="405" ht="12.75" customHeight="1">
      <c r="A405" s="37" t="str">
        <f t="shared" si="2"/>
        <v>ST_353</v>
      </c>
      <c r="B405" s="120" t="s">
        <v>35</v>
      </c>
      <c r="C405" s="120" t="s">
        <v>89</v>
      </c>
      <c r="D405" s="120" t="s">
        <v>1160</v>
      </c>
      <c r="E405" s="120" t="s">
        <v>1150</v>
      </c>
      <c r="F405" s="120" t="s">
        <v>1195</v>
      </c>
      <c r="G405" s="117" t="s">
        <v>1196</v>
      </c>
      <c r="H405" s="118" t="s">
        <v>1019</v>
      </c>
      <c r="I405" s="62"/>
      <c r="J405" s="63"/>
      <c r="K405" s="63"/>
      <c r="L405" s="15"/>
      <c r="M405" s="15"/>
      <c r="N405" s="15"/>
      <c r="O405" s="15"/>
      <c r="P405" s="15"/>
      <c r="Q405" s="15"/>
      <c r="R405" s="15"/>
      <c r="S405" s="15"/>
      <c r="T405" s="15"/>
      <c r="U405" s="15"/>
      <c r="V405" s="15"/>
      <c r="W405" s="15"/>
      <c r="X405" s="15"/>
      <c r="Y405" s="15"/>
      <c r="Z405" s="15"/>
    </row>
    <row r="406" ht="12.75" customHeight="1">
      <c r="A406" s="37" t="str">
        <f t="shared" si="2"/>
        <v>ST_354</v>
      </c>
      <c r="B406" s="73"/>
      <c r="C406" s="73"/>
      <c r="D406" s="73"/>
      <c r="E406" s="73"/>
      <c r="F406" s="73"/>
      <c r="G406" s="117" t="s">
        <v>1142</v>
      </c>
      <c r="H406" s="136" t="s">
        <v>1163</v>
      </c>
      <c r="I406" s="62"/>
      <c r="J406" s="63"/>
      <c r="K406" s="63"/>
      <c r="L406" s="15"/>
      <c r="M406" s="15"/>
      <c r="N406" s="15"/>
      <c r="O406" s="15"/>
      <c r="P406" s="15"/>
      <c r="Q406" s="15"/>
      <c r="R406" s="15"/>
      <c r="S406" s="15"/>
      <c r="T406" s="15"/>
      <c r="U406" s="15"/>
      <c r="V406" s="15"/>
      <c r="W406" s="15"/>
      <c r="X406" s="15"/>
      <c r="Y406" s="15"/>
      <c r="Z406" s="15"/>
    </row>
    <row r="407" ht="12.75" customHeight="1">
      <c r="A407" s="37" t="str">
        <f t="shared" si="2"/>
        <v>ST_355</v>
      </c>
      <c r="B407" s="32"/>
      <c r="C407" s="32"/>
      <c r="D407" s="32"/>
      <c r="E407" s="32"/>
      <c r="F407" s="32"/>
      <c r="G407" s="117" t="s">
        <v>1020</v>
      </c>
      <c r="H407" s="118" t="s">
        <v>1164</v>
      </c>
      <c r="I407" s="62"/>
      <c r="J407" s="63"/>
      <c r="K407" s="63"/>
      <c r="L407" s="15"/>
      <c r="M407" s="15"/>
      <c r="N407" s="15"/>
      <c r="O407" s="15"/>
      <c r="P407" s="15"/>
      <c r="Q407" s="15"/>
      <c r="R407" s="15"/>
      <c r="S407" s="15"/>
      <c r="T407" s="15"/>
      <c r="U407" s="15"/>
      <c r="V407" s="15"/>
      <c r="W407" s="15"/>
      <c r="X407" s="15"/>
      <c r="Y407" s="15"/>
      <c r="Z407" s="15"/>
    </row>
    <row r="408" ht="12.75" customHeight="1">
      <c r="A408" s="37" t="str">
        <f t="shared" si="2"/>
        <v>ST_356</v>
      </c>
      <c r="B408" s="117" t="s">
        <v>35</v>
      </c>
      <c r="C408" s="117" t="s">
        <v>37</v>
      </c>
      <c r="D408" s="117" t="s">
        <v>1165</v>
      </c>
      <c r="E408" s="117" t="s">
        <v>1166</v>
      </c>
      <c r="F408" s="117" t="s">
        <v>1167</v>
      </c>
      <c r="G408" s="117" t="s">
        <v>1148</v>
      </c>
      <c r="H408" s="118" t="s">
        <v>1197</v>
      </c>
      <c r="I408" s="62"/>
      <c r="J408" s="63"/>
      <c r="K408" s="63"/>
      <c r="L408" s="15"/>
      <c r="M408" s="15"/>
      <c r="N408" s="15"/>
      <c r="O408" s="15"/>
      <c r="P408" s="15"/>
      <c r="Q408" s="15"/>
      <c r="R408" s="15"/>
      <c r="S408" s="15"/>
      <c r="T408" s="15"/>
      <c r="U408" s="15"/>
      <c r="V408" s="15"/>
      <c r="W408" s="15"/>
      <c r="X408" s="15"/>
      <c r="Y408" s="15"/>
      <c r="Z408" s="15"/>
    </row>
    <row r="409" ht="12.75" customHeight="1">
      <c r="A409" s="37" t="str">
        <f t="shared" si="2"/>
        <v>ST_357</v>
      </c>
      <c r="B409" s="120" t="s">
        <v>35</v>
      </c>
      <c r="C409" s="120" t="s">
        <v>37</v>
      </c>
      <c r="D409" s="120" t="s">
        <v>1169</v>
      </c>
      <c r="E409" s="120" t="s">
        <v>1150</v>
      </c>
      <c r="F409" s="120" t="s">
        <v>1170</v>
      </c>
      <c r="G409" s="117" t="s">
        <v>1171</v>
      </c>
      <c r="H409" s="118" t="s">
        <v>1198</v>
      </c>
      <c r="I409" s="62"/>
      <c r="J409" s="63"/>
      <c r="K409" s="63"/>
      <c r="L409" s="15"/>
      <c r="M409" s="15"/>
      <c r="N409" s="15"/>
      <c r="O409" s="15"/>
      <c r="P409" s="15"/>
      <c r="Q409" s="15"/>
      <c r="R409" s="15"/>
      <c r="S409" s="15"/>
      <c r="T409" s="15"/>
      <c r="U409" s="15"/>
      <c r="V409" s="15"/>
      <c r="W409" s="15"/>
      <c r="X409" s="15"/>
      <c r="Y409" s="15"/>
      <c r="Z409" s="15"/>
    </row>
    <row r="410" ht="12.75" customHeight="1">
      <c r="A410" s="37" t="str">
        <f t="shared" si="2"/>
        <v>ST_358</v>
      </c>
      <c r="B410" s="73"/>
      <c r="C410" s="73"/>
      <c r="D410" s="73"/>
      <c r="E410" s="73"/>
      <c r="F410" s="73"/>
      <c r="G410" s="117" t="s">
        <v>1173</v>
      </c>
      <c r="H410" s="118" t="s">
        <v>1174</v>
      </c>
      <c r="I410" s="62"/>
      <c r="J410" s="63"/>
      <c r="K410" s="63"/>
      <c r="L410" s="15"/>
      <c r="M410" s="15"/>
      <c r="N410" s="15"/>
      <c r="O410" s="15"/>
      <c r="P410" s="15"/>
      <c r="Q410" s="15"/>
      <c r="R410" s="15"/>
      <c r="S410" s="15"/>
      <c r="T410" s="15"/>
      <c r="U410" s="15"/>
      <c r="V410" s="15"/>
      <c r="W410" s="15"/>
      <c r="X410" s="15"/>
      <c r="Y410" s="15"/>
      <c r="Z410" s="15"/>
    </row>
    <row r="411" ht="12.75" customHeight="1">
      <c r="A411" s="37" t="str">
        <f t="shared" si="2"/>
        <v>ST_359</v>
      </c>
      <c r="B411" s="73"/>
      <c r="C411" s="73"/>
      <c r="D411" s="73"/>
      <c r="E411" s="73"/>
      <c r="F411" s="73"/>
      <c r="G411" s="117" t="s">
        <v>1175</v>
      </c>
      <c r="H411" s="136" t="s">
        <v>1176</v>
      </c>
      <c r="I411" s="62"/>
      <c r="J411" s="63"/>
      <c r="K411" s="63"/>
      <c r="L411" s="15"/>
      <c r="M411" s="15"/>
      <c r="N411" s="15"/>
      <c r="O411" s="15"/>
      <c r="P411" s="15"/>
      <c r="Q411" s="15"/>
      <c r="R411" s="15"/>
      <c r="S411" s="15"/>
      <c r="T411" s="15"/>
      <c r="U411" s="15"/>
      <c r="V411" s="15"/>
      <c r="W411" s="15"/>
      <c r="X411" s="15"/>
      <c r="Y411" s="15"/>
      <c r="Z411" s="15"/>
    </row>
    <row r="412" ht="12.75" customHeight="1">
      <c r="A412" s="37" t="str">
        <f t="shared" si="2"/>
        <v>ST_360</v>
      </c>
      <c r="B412" s="32"/>
      <c r="C412" s="32"/>
      <c r="D412" s="32"/>
      <c r="E412" s="32"/>
      <c r="F412" s="32"/>
      <c r="G412" s="117" t="s">
        <v>1020</v>
      </c>
      <c r="H412" s="118" t="s">
        <v>1177</v>
      </c>
      <c r="I412" s="62"/>
      <c r="J412" s="63"/>
      <c r="K412" s="63"/>
      <c r="L412" s="15"/>
      <c r="M412" s="15"/>
      <c r="N412" s="15"/>
      <c r="O412" s="15"/>
      <c r="P412" s="15"/>
      <c r="Q412" s="15"/>
      <c r="R412" s="15"/>
      <c r="S412" s="15"/>
      <c r="T412" s="15"/>
      <c r="U412" s="15"/>
      <c r="V412" s="15"/>
      <c r="W412" s="15"/>
      <c r="X412" s="15"/>
      <c r="Y412" s="15"/>
      <c r="Z412" s="15"/>
    </row>
    <row r="413" ht="12.75" customHeight="1">
      <c r="A413" s="37" t="str">
        <f t="shared" si="2"/>
        <v>ST_361</v>
      </c>
      <c r="B413" s="117" t="s">
        <v>35</v>
      </c>
      <c r="C413" s="117" t="s">
        <v>37</v>
      </c>
      <c r="D413" s="117" t="s">
        <v>1178</v>
      </c>
      <c r="E413" s="117" t="s">
        <v>1166</v>
      </c>
      <c r="F413" s="117" t="s">
        <v>1179</v>
      </c>
      <c r="G413" s="117" t="s">
        <v>1199</v>
      </c>
      <c r="H413" s="118" t="s">
        <v>1200</v>
      </c>
      <c r="I413" s="62"/>
      <c r="J413" s="63"/>
      <c r="K413" s="63"/>
      <c r="L413" s="15"/>
      <c r="M413" s="15"/>
      <c r="N413" s="15"/>
      <c r="O413" s="15"/>
      <c r="P413" s="15"/>
      <c r="Q413" s="15"/>
      <c r="R413" s="15"/>
      <c r="S413" s="15"/>
      <c r="T413" s="15"/>
      <c r="U413" s="15"/>
      <c r="V413" s="15"/>
      <c r="W413" s="15"/>
      <c r="X413" s="15"/>
      <c r="Y413" s="15"/>
      <c r="Z413" s="15"/>
    </row>
    <row r="414" ht="15.0" customHeight="1">
      <c r="A414" s="37" t="str">
        <f t="shared" si="2"/>
        <v/>
      </c>
      <c r="B414" s="135" t="s">
        <v>1201</v>
      </c>
      <c r="C414" s="122"/>
      <c r="D414" s="122"/>
      <c r="E414" s="122"/>
      <c r="F414" s="122"/>
      <c r="G414" s="122"/>
      <c r="H414" s="122"/>
      <c r="I414" s="122"/>
      <c r="J414" s="122"/>
      <c r="K414" s="123"/>
      <c r="L414" s="15"/>
      <c r="M414" s="15"/>
      <c r="N414" s="15"/>
      <c r="O414" s="15"/>
      <c r="P414" s="15"/>
      <c r="Q414" s="15"/>
      <c r="R414" s="15"/>
      <c r="S414" s="15"/>
      <c r="T414" s="15"/>
      <c r="U414" s="15"/>
      <c r="V414" s="86"/>
      <c r="W414" s="86"/>
      <c r="X414" s="86"/>
      <c r="Y414" s="86"/>
      <c r="Z414" s="86"/>
    </row>
    <row r="415" ht="314.25" customHeight="1">
      <c r="A415" s="37" t="str">
        <f t="shared" si="2"/>
        <v/>
      </c>
      <c r="B415" s="124" t="s">
        <v>1202</v>
      </c>
      <c r="C415" s="125"/>
      <c r="D415" s="125"/>
      <c r="E415" s="125"/>
      <c r="F415" s="125"/>
      <c r="G415" s="125"/>
      <c r="H415" s="126"/>
      <c r="I415" s="127"/>
      <c r="J415" s="72"/>
      <c r="K415" s="72"/>
      <c r="L415" s="15"/>
      <c r="M415" s="15"/>
      <c r="N415" s="15"/>
      <c r="O415" s="15"/>
      <c r="P415" s="15"/>
      <c r="Q415" s="15"/>
      <c r="R415" s="15"/>
      <c r="S415" s="15"/>
      <c r="T415" s="15"/>
      <c r="U415" s="15"/>
      <c r="V415" s="15"/>
      <c r="W415" s="15"/>
      <c r="X415" s="15"/>
      <c r="Y415" s="15"/>
      <c r="Z415" s="15"/>
    </row>
    <row r="416" ht="12.75" customHeight="1">
      <c r="A416" s="37" t="str">
        <f t="shared" si="2"/>
        <v>ST_362</v>
      </c>
      <c r="B416" s="131" t="s">
        <v>35</v>
      </c>
      <c r="C416" s="131" t="s">
        <v>671</v>
      </c>
      <c r="D416" s="131" t="s">
        <v>1203</v>
      </c>
      <c r="E416" s="131" t="s">
        <v>671</v>
      </c>
      <c r="F416" s="131" t="s">
        <v>1204</v>
      </c>
      <c r="G416" s="128" t="s">
        <v>1205</v>
      </c>
      <c r="H416" s="129" t="s">
        <v>1206</v>
      </c>
      <c r="I416" s="62"/>
      <c r="J416" s="63"/>
      <c r="K416" s="63"/>
      <c r="L416" s="15"/>
      <c r="M416" s="15"/>
      <c r="N416" s="15"/>
      <c r="O416" s="15"/>
      <c r="P416" s="15"/>
      <c r="Q416" s="15"/>
      <c r="R416" s="15"/>
      <c r="S416" s="15"/>
      <c r="T416" s="15"/>
      <c r="U416" s="15"/>
      <c r="V416" s="15"/>
      <c r="W416" s="15"/>
      <c r="X416" s="15"/>
      <c r="Y416" s="15"/>
      <c r="Z416" s="15"/>
    </row>
    <row r="417" ht="12.75" customHeight="1">
      <c r="A417" s="37" t="str">
        <f t="shared" si="2"/>
        <v>ST_363</v>
      </c>
      <c r="B417" s="32"/>
      <c r="C417" s="32"/>
      <c r="D417" s="32"/>
      <c r="E417" s="32"/>
      <c r="F417" s="32"/>
      <c r="G417" s="117" t="s">
        <v>1092</v>
      </c>
      <c r="H417" s="118" t="s">
        <v>1207</v>
      </c>
      <c r="I417" s="62"/>
      <c r="J417" s="63"/>
      <c r="K417" s="63"/>
      <c r="L417" s="15"/>
      <c r="M417" s="15"/>
      <c r="N417" s="15"/>
      <c r="O417" s="15"/>
      <c r="P417" s="15"/>
      <c r="Q417" s="15"/>
      <c r="R417" s="15"/>
      <c r="S417" s="15"/>
      <c r="T417" s="15"/>
      <c r="U417" s="15"/>
      <c r="V417" s="15"/>
      <c r="W417" s="15"/>
      <c r="X417" s="15"/>
      <c r="Y417" s="15"/>
      <c r="Z417" s="15"/>
    </row>
    <row r="418" ht="12.75" customHeight="1">
      <c r="A418" s="37" t="str">
        <f t="shared" si="2"/>
        <v>ST_364</v>
      </c>
      <c r="B418" s="117"/>
      <c r="C418" s="117"/>
      <c r="D418" s="117" t="s">
        <v>1133</v>
      </c>
      <c r="E418" s="117" t="s">
        <v>671</v>
      </c>
      <c r="F418" s="117" t="s">
        <v>1134</v>
      </c>
      <c r="G418" s="117" t="s">
        <v>1208</v>
      </c>
      <c r="H418" s="118" t="s">
        <v>1209</v>
      </c>
      <c r="I418" s="62"/>
      <c r="J418" s="63"/>
      <c r="K418" s="63"/>
      <c r="L418" s="15"/>
      <c r="M418" s="15"/>
      <c r="N418" s="15"/>
      <c r="O418" s="15"/>
      <c r="P418" s="15"/>
      <c r="Q418" s="15"/>
      <c r="R418" s="15"/>
      <c r="S418" s="15"/>
      <c r="T418" s="15"/>
      <c r="U418" s="15"/>
      <c r="V418" s="15"/>
      <c r="W418" s="15"/>
      <c r="X418" s="15"/>
      <c r="Y418" s="15"/>
      <c r="Z418" s="15"/>
    </row>
    <row r="419" ht="12.75" customHeight="1">
      <c r="A419" s="37" t="str">
        <f t="shared" si="2"/>
        <v>ST_365</v>
      </c>
      <c r="B419" s="117"/>
      <c r="C419" s="117"/>
      <c r="D419" s="117" t="s">
        <v>1133</v>
      </c>
      <c r="E419" s="117" t="s">
        <v>671</v>
      </c>
      <c r="F419" s="117" t="s">
        <v>1210</v>
      </c>
      <c r="G419" s="117" t="s">
        <v>1211</v>
      </c>
      <c r="H419" s="118" t="s">
        <v>1212</v>
      </c>
      <c r="I419" s="62"/>
      <c r="J419" s="63"/>
      <c r="K419" s="63"/>
      <c r="L419" s="15"/>
      <c r="M419" s="15"/>
      <c r="N419" s="15"/>
      <c r="O419" s="15"/>
      <c r="P419" s="15"/>
      <c r="Q419" s="15"/>
      <c r="R419" s="15"/>
      <c r="S419" s="15"/>
      <c r="T419" s="15"/>
      <c r="U419" s="15"/>
      <c r="V419" s="15"/>
      <c r="W419" s="15"/>
      <c r="X419" s="15"/>
      <c r="Y419" s="15"/>
      <c r="Z419" s="15"/>
    </row>
    <row r="420" ht="12.75" customHeight="1">
      <c r="A420" s="37" t="str">
        <f t="shared" si="2"/>
        <v>ST_366</v>
      </c>
      <c r="B420" s="120"/>
      <c r="C420" s="120"/>
      <c r="D420" s="120" t="s">
        <v>1139</v>
      </c>
      <c r="E420" s="120" t="s">
        <v>671</v>
      </c>
      <c r="F420" s="120" t="s">
        <v>1213</v>
      </c>
      <c r="G420" s="117" t="s">
        <v>1214</v>
      </c>
      <c r="H420" s="118" t="s">
        <v>1019</v>
      </c>
      <c r="I420" s="62"/>
      <c r="J420" s="63"/>
      <c r="K420" s="63"/>
      <c r="L420" s="15"/>
      <c r="M420" s="15"/>
      <c r="N420" s="15"/>
      <c r="O420" s="15"/>
      <c r="P420" s="15"/>
      <c r="Q420" s="15"/>
      <c r="R420" s="15"/>
      <c r="S420" s="15"/>
      <c r="T420" s="15"/>
      <c r="U420" s="15"/>
      <c r="V420" s="15"/>
      <c r="W420" s="15"/>
      <c r="X420" s="15"/>
      <c r="Y420" s="15"/>
      <c r="Z420" s="15"/>
    </row>
    <row r="421" ht="12.75" customHeight="1">
      <c r="A421" s="37" t="str">
        <f t="shared" si="2"/>
        <v>ST_367</v>
      </c>
      <c r="B421" s="73"/>
      <c r="C421" s="73"/>
      <c r="D421" s="73"/>
      <c r="E421" s="73"/>
      <c r="F421" s="73"/>
      <c r="G421" s="117" t="s">
        <v>1142</v>
      </c>
      <c r="H421" s="136" t="s">
        <v>1143</v>
      </c>
      <c r="I421" s="62"/>
      <c r="J421" s="63"/>
      <c r="K421" s="63"/>
      <c r="L421" s="15"/>
      <c r="M421" s="15"/>
      <c r="N421" s="15"/>
      <c r="O421" s="15"/>
      <c r="P421" s="15"/>
      <c r="Q421" s="15"/>
      <c r="R421" s="15"/>
      <c r="S421" s="15"/>
      <c r="T421" s="15"/>
      <c r="U421" s="15"/>
      <c r="V421" s="15"/>
      <c r="W421" s="15"/>
      <c r="X421" s="15"/>
      <c r="Y421" s="15"/>
      <c r="Z421" s="15"/>
    </row>
    <row r="422" ht="12.75" customHeight="1">
      <c r="A422" s="37" t="str">
        <f t="shared" si="2"/>
        <v>ST_368</v>
      </c>
      <c r="B422" s="32"/>
      <c r="C422" s="32"/>
      <c r="D422" s="32"/>
      <c r="E422" s="32"/>
      <c r="F422" s="32"/>
      <c r="G422" s="117" t="s">
        <v>299</v>
      </c>
      <c r="H422" s="118" t="s">
        <v>1144</v>
      </c>
      <c r="I422" s="62"/>
      <c r="J422" s="63"/>
      <c r="K422" s="63"/>
      <c r="L422" s="15"/>
      <c r="M422" s="15"/>
      <c r="N422" s="15"/>
      <c r="O422" s="15"/>
      <c r="P422" s="15"/>
      <c r="Q422" s="15"/>
      <c r="R422" s="15"/>
      <c r="S422" s="15"/>
      <c r="T422" s="15"/>
      <c r="U422" s="15"/>
      <c r="V422" s="15"/>
      <c r="W422" s="15"/>
      <c r="X422" s="15"/>
      <c r="Y422" s="15"/>
      <c r="Z422" s="15"/>
    </row>
    <row r="423" ht="12.75" customHeight="1">
      <c r="A423" s="37" t="str">
        <f t="shared" si="2"/>
        <v>ST_369</v>
      </c>
      <c r="B423" s="117" t="s">
        <v>35</v>
      </c>
      <c r="C423" s="117" t="s">
        <v>89</v>
      </c>
      <c r="D423" s="117" t="s">
        <v>1215</v>
      </c>
      <c r="E423" s="117" t="s">
        <v>1146</v>
      </c>
      <c r="F423" s="117" t="s">
        <v>1147</v>
      </c>
      <c r="G423" s="117" t="s">
        <v>1216</v>
      </c>
      <c r="H423" s="118" t="s">
        <v>1149</v>
      </c>
      <c r="I423" s="62"/>
      <c r="J423" s="63"/>
      <c r="K423" s="63"/>
      <c r="L423" s="15"/>
      <c r="M423" s="15"/>
      <c r="N423" s="15"/>
      <c r="O423" s="15"/>
      <c r="P423" s="15"/>
      <c r="Q423" s="15"/>
      <c r="R423" s="15"/>
      <c r="S423" s="15"/>
      <c r="T423" s="15"/>
      <c r="U423" s="15"/>
      <c r="V423" s="15"/>
      <c r="W423" s="15"/>
      <c r="X423" s="15"/>
      <c r="Y423" s="15"/>
      <c r="Z423" s="15"/>
    </row>
    <row r="424" ht="12.75" customHeight="1">
      <c r="A424" s="37" t="str">
        <f t="shared" si="2"/>
        <v>ST_370</v>
      </c>
      <c r="B424" s="117" t="s">
        <v>35</v>
      </c>
      <c r="C424" s="117" t="s">
        <v>89</v>
      </c>
      <c r="D424" s="117" t="s">
        <v>1215</v>
      </c>
      <c r="E424" s="117" t="s">
        <v>1150</v>
      </c>
      <c r="F424" s="117" t="s">
        <v>1147</v>
      </c>
      <c r="G424" s="117" t="s">
        <v>1216</v>
      </c>
      <c r="H424" s="118" t="s">
        <v>1217</v>
      </c>
      <c r="I424" s="62"/>
      <c r="J424" s="63"/>
      <c r="K424" s="63"/>
      <c r="L424" s="15"/>
      <c r="M424" s="15"/>
      <c r="N424" s="15"/>
      <c r="O424" s="15"/>
      <c r="P424" s="15"/>
      <c r="Q424" s="15"/>
      <c r="R424" s="15"/>
      <c r="S424" s="15"/>
      <c r="T424" s="15"/>
      <c r="U424" s="15"/>
      <c r="V424" s="15"/>
      <c r="W424" s="15"/>
      <c r="X424" s="15"/>
      <c r="Y424" s="15"/>
      <c r="Z424" s="15"/>
    </row>
    <row r="425" ht="12.75" customHeight="1">
      <c r="A425" s="37" t="str">
        <f t="shared" si="2"/>
        <v>ST_371</v>
      </c>
      <c r="B425" s="117" t="s">
        <v>35</v>
      </c>
      <c r="C425" s="117" t="s">
        <v>37</v>
      </c>
      <c r="D425" s="117" t="s">
        <v>185</v>
      </c>
      <c r="E425" s="117" t="s">
        <v>1166</v>
      </c>
      <c r="F425" s="117" t="s">
        <v>1218</v>
      </c>
      <c r="G425" s="117" t="s">
        <v>1219</v>
      </c>
      <c r="H425" s="118" t="s">
        <v>1220</v>
      </c>
      <c r="I425" s="62"/>
      <c r="J425" s="63"/>
      <c r="K425" s="63"/>
      <c r="L425" s="15"/>
      <c r="M425" s="15"/>
      <c r="N425" s="15"/>
      <c r="O425" s="15"/>
      <c r="P425" s="15"/>
      <c r="Q425" s="15"/>
      <c r="R425" s="15"/>
      <c r="S425" s="15"/>
      <c r="T425" s="15"/>
      <c r="U425" s="15"/>
      <c r="V425" s="15"/>
      <c r="W425" s="15"/>
      <c r="X425" s="15"/>
      <c r="Y425" s="15"/>
      <c r="Z425" s="15"/>
    </row>
    <row r="426" ht="12.75" customHeight="1">
      <c r="A426" s="37" t="str">
        <f t="shared" si="2"/>
        <v>ST_372</v>
      </c>
      <c r="B426" s="120" t="s">
        <v>35</v>
      </c>
      <c r="C426" s="120" t="s">
        <v>89</v>
      </c>
      <c r="D426" s="120" t="s">
        <v>1221</v>
      </c>
      <c r="E426" s="120" t="s">
        <v>1150</v>
      </c>
      <c r="F426" s="120" t="s">
        <v>1222</v>
      </c>
      <c r="G426" s="117" t="s">
        <v>1223</v>
      </c>
      <c r="H426" s="118" t="s">
        <v>1019</v>
      </c>
      <c r="I426" s="62"/>
      <c r="J426" s="63"/>
      <c r="K426" s="63"/>
      <c r="L426" s="15"/>
      <c r="M426" s="15"/>
      <c r="N426" s="15"/>
      <c r="O426" s="15"/>
      <c r="P426" s="15"/>
      <c r="Q426" s="15"/>
      <c r="R426" s="15"/>
      <c r="S426" s="15"/>
      <c r="T426" s="15"/>
      <c r="U426" s="15"/>
      <c r="V426" s="15"/>
      <c r="W426" s="15"/>
      <c r="X426" s="15"/>
      <c r="Y426" s="15"/>
      <c r="Z426" s="15"/>
    </row>
    <row r="427" ht="12.75" customHeight="1">
      <c r="A427" s="37" t="str">
        <f t="shared" si="2"/>
        <v>ST_373</v>
      </c>
      <c r="B427" s="73"/>
      <c r="C427" s="73"/>
      <c r="D427" s="73"/>
      <c r="E427" s="73"/>
      <c r="F427" s="73"/>
      <c r="G427" s="117" t="s">
        <v>1142</v>
      </c>
      <c r="H427" s="136" t="s">
        <v>1143</v>
      </c>
      <c r="I427" s="62"/>
      <c r="J427" s="63"/>
      <c r="K427" s="63"/>
      <c r="L427" s="15"/>
      <c r="M427" s="15"/>
      <c r="N427" s="15"/>
      <c r="O427" s="15"/>
      <c r="P427" s="15"/>
      <c r="Q427" s="15"/>
      <c r="R427" s="15"/>
      <c r="S427" s="15"/>
      <c r="T427" s="15"/>
      <c r="U427" s="15"/>
      <c r="V427" s="15"/>
      <c r="W427" s="15"/>
      <c r="X427" s="15"/>
      <c r="Y427" s="15"/>
      <c r="Z427" s="15"/>
    </row>
    <row r="428" ht="12.75" customHeight="1">
      <c r="A428" s="37" t="str">
        <f t="shared" si="2"/>
        <v>ST_374</v>
      </c>
      <c r="B428" s="32"/>
      <c r="C428" s="32"/>
      <c r="D428" s="32"/>
      <c r="E428" s="32"/>
      <c r="F428" s="32"/>
      <c r="G428" s="117" t="s">
        <v>1020</v>
      </c>
      <c r="H428" s="118" t="s">
        <v>1159</v>
      </c>
      <c r="I428" s="62"/>
      <c r="J428" s="63"/>
      <c r="K428" s="63"/>
      <c r="L428" s="15"/>
      <c r="M428" s="15"/>
      <c r="N428" s="15"/>
      <c r="O428" s="15"/>
      <c r="P428" s="15"/>
      <c r="Q428" s="15"/>
      <c r="R428" s="15"/>
      <c r="S428" s="15"/>
      <c r="T428" s="15"/>
      <c r="U428" s="15"/>
      <c r="V428" s="15"/>
      <c r="W428" s="15"/>
      <c r="X428" s="15"/>
      <c r="Y428" s="15"/>
      <c r="Z428" s="15"/>
    </row>
    <row r="429" ht="12.75" customHeight="1">
      <c r="A429" s="37" t="str">
        <f t="shared" si="2"/>
        <v>ST_375</v>
      </c>
      <c r="B429" s="120" t="s">
        <v>35</v>
      </c>
      <c r="C429" s="120" t="s">
        <v>89</v>
      </c>
      <c r="D429" s="120" t="s">
        <v>1224</v>
      </c>
      <c r="E429" s="120" t="s">
        <v>1150</v>
      </c>
      <c r="F429" s="120" t="s">
        <v>1225</v>
      </c>
      <c r="G429" s="117" t="s">
        <v>1226</v>
      </c>
      <c r="H429" s="118" t="s">
        <v>1019</v>
      </c>
      <c r="I429" s="62"/>
      <c r="J429" s="63"/>
      <c r="K429" s="63"/>
      <c r="L429" s="15"/>
      <c r="M429" s="15"/>
      <c r="N429" s="15"/>
      <c r="O429" s="15"/>
      <c r="P429" s="15"/>
      <c r="Q429" s="15"/>
      <c r="R429" s="15"/>
      <c r="S429" s="15"/>
      <c r="T429" s="15"/>
      <c r="U429" s="15"/>
      <c r="V429" s="15"/>
      <c r="W429" s="15"/>
      <c r="X429" s="15"/>
      <c r="Y429" s="15"/>
      <c r="Z429" s="15"/>
    </row>
    <row r="430" ht="12.75" customHeight="1">
      <c r="A430" s="37" t="str">
        <f t="shared" si="2"/>
        <v>ST_376</v>
      </c>
      <c r="B430" s="73"/>
      <c r="C430" s="73"/>
      <c r="D430" s="73"/>
      <c r="E430" s="73"/>
      <c r="F430" s="73"/>
      <c r="G430" s="117" t="s">
        <v>1142</v>
      </c>
      <c r="H430" s="136" t="s">
        <v>1163</v>
      </c>
      <c r="I430" s="62"/>
      <c r="J430" s="63"/>
      <c r="K430" s="63"/>
      <c r="L430" s="15"/>
      <c r="M430" s="15"/>
      <c r="N430" s="15"/>
      <c r="O430" s="15"/>
      <c r="P430" s="15"/>
      <c r="Q430" s="15"/>
      <c r="R430" s="15"/>
      <c r="S430" s="15"/>
      <c r="T430" s="15"/>
      <c r="U430" s="15"/>
      <c r="V430" s="15"/>
      <c r="W430" s="15"/>
      <c r="X430" s="15"/>
      <c r="Y430" s="15"/>
      <c r="Z430" s="15"/>
    </row>
    <row r="431" ht="12.75" customHeight="1">
      <c r="A431" s="37" t="str">
        <f t="shared" si="2"/>
        <v>ST_377</v>
      </c>
      <c r="B431" s="32"/>
      <c r="C431" s="32"/>
      <c r="D431" s="32"/>
      <c r="E431" s="32"/>
      <c r="F431" s="32"/>
      <c r="G431" s="117" t="s">
        <v>1020</v>
      </c>
      <c r="H431" s="118" t="s">
        <v>1164</v>
      </c>
      <c r="I431" s="62"/>
      <c r="J431" s="63"/>
      <c r="K431" s="63"/>
      <c r="L431" s="15"/>
      <c r="M431" s="15"/>
      <c r="N431" s="15"/>
      <c r="O431" s="15"/>
      <c r="P431" s="15"/>
      <c r="Q431" s="15"/>
      <c r="R431" s="15"/>
      <c r="S431" s="15"/>
      <c r="T431" s="15"/>
      <c r="U431" s="15"/>
      <c r="V431" s="15"/>
      <c r="W431" s="15"/>
      <c r="X431" s="15"/>
      <c r="Y431" s="15"/>
      <c r="Z431" s="15"/>
    </row>
    <row r="432" ht="12.75" customHeight="1">
      <c r="A432" s="37" t="str">
        <f t="shared" si="2"/>
        <v>ST_378</v>
      </c>
      <c r="B432" s="117" t="s">
        <v>35</v>
      </c>
      <c r="C432" s="117" t="s">
        <v>37</v>
      </c>
      <c r="D432" s="117" t="s">
        <v>1227</v>
      </c>
      <c r="E432" s="117" t="s">
        <v>1166</v>
      </c>
      <c r="F432" s="117" t="s">
        <v>1167</v>
      </c>
      <c r="G432" s="117" t="s">
        <v>1216</v>
      </c>
      <c r="H432" s="118" t="s">
        <v>1228</v>
      </c>
      <c r="I432" s="62"/>
      <c r="J432" s="63"/>
      <c r="K432" s="63"/>
      <c r="L432" s="15"/>
      <c r="M432" s="15"/>
      <c r="N432" s="15"/>
      <c r="O432" s="15"/>
      <c r="P432" s="15"/>
      <c r="Q432" s="15"/>
      <c r="R432" s="15"/>
      <c r="S432" s="15"/>
      <c r="T432" s="15"/>
      <c r="U432" s="15"/>
      <c r="V432" s="15"/>
      <c r="W432" s="15"/>
      <c r="X432" s="15"/>
      <c r="Y432" s="15"/>
      <c r="Z432" s="15"/>
    </row>
    <row r="433" ht="12.75" customHeight="1">
      <c r="A433" s="37" t="str">
        <f t="shared" si="2"/>
        <v>ST_379</v>
      </c>
      <c r="B433" s="120" t="s">
        <v>35</v>
      </c>
      <c r="C433" s="120" t="s">
        <v>37</v>
      </c>
      <c r="D433" s="120" t="s">
        <v>1229</v>
      </c>
      <c r="E433" s="120" t="s">
        <v>1150</v>
      </c>
      <c r="F433" s="120" t="s">
        <v>1230</v>
      </c>
      <c r="G433" s="117" t="s">
        <v>1231</v>
      </c>
      <c r="H433" s="118" t="s">
        <v>1232</v>
      </c>
      <c r="I433" s="62"/>
      <c r="J433" s="63"/>
      <c r="K433" s="63"/>
      <c r="L433" s="15"/>
      <c r="M433" s="15"/>
      <c r="N433" s="15"/>
      <c r="O433" s="15"/>
      <c r="P433" s="15"/>
      <c r="Q433" s="15"/>
      <c r="R433" s="15"/>
      <c r="S433" s="15"/>
      <c r="T433" s="15"/>
      <c r="U433" s="15"/>
      <c r="V433" s="15"/>
      <c r="W433" s="15"/>
      <c r="X433" s="15"/>
      <c r="Y433" s="15"/>
      <c r="Z433" s="15"/>
    </row>
    <row r="434" ht="12.75" customHeight="1">
      <c r="A434" s="37" t="str">
        <f t="shared" si="2"/>
        <v>ST_380</v>
      </c>
      <c r="B434" s="73"/>
      <c r="C434" s="73"/>
      <c r="D434" s="73"/>
      <c r="E434" s="73"/>
      <c r="F434" s="73"/>
      <c r="G434" s="117" t="s">
        <v>1173</v>
      </c>
      <c r="H434" s="118" t="s">
        <v>1174</v>
      </c>
      <c r="I434" s="62"/>
      <c r="J434" s="63"/>
      <c r="K434" s="63"/>
      <c r="L434" s="15"/>
      <c r="M434" s="15"/>
      <c r="N434" s="15"/>
      <c r="O434" s="15"/>
      <c r="P434" s="15"/>
      <c r="Q434" s="15"/>
      <c r="R434" s="15"/>
      <c r="S434" s="15"/>
      <c r="T434" s="15"/>
      <c r="U434" s="15"/>
      <c r="V434" s="15"/>
      <c r="W434" s="15"/>
      <c r="X434" s="15"/>
      <c r="Y434" s="15"/>
      <c r="Z434" s="15"/>
    </row>
    <row r="435" ht="12.75" customHeight="1">
      <c r="A435" s="37" t="str">
        <f t="shared" si="2"/>
        <v>ST_381</v>
      </c>
      <c r="B435" s="73"/>
      <c r="C435" s="73"/>
      <c r="D435" s="73"/>
      <c r="E435" s="73"/>
      <c r="F435" s="73"/>
      <c r="G435" s="117" t="s">
        <v>1175</v>
      </c>
      <c r="H435" s="136" t="s">
        <v>1176</v>
      </c>
      <c r="I435" s="62"/>
      <c r="J435" s="63"/>
      <c r="K435" s="63"/>
      <c r="L435" s="15"/>
      <c r="M435" s="15"/>
      <c r="N435" s="15"/>
      <c r="O435" s="15"/>
      <c r="P435" s="15"/>
      <c r="Q435" s="15"/>
      <c r="R435" s="15"/>
      <c r="S435" s="15"/>
      <c r="T435" s="15"/>
      <c r="U435" s="15"/>
      <c r="V435" s="15"/>
      <c r="W435" s="15"/>
      <c r="X435" s="15"/>
      <c r="Y435" s="15"/>
      <c r="Z435" s="15"/>
    </row>
    <row r="436" ht="12.75" customHeight="1">
      <c r="A436" s="37" t="str">
        <f t="shared" si="2"/>
        <v>ST_382</v>
      </c>
      <c r="B436" s="32"/>
      <c r="C436" s="32"/>
      <c r="D436" s="32"/>
      <c r="E436" s="32"/>
      <c r="F436" s="32"/>
      <c r="G436" s="117" t="s">
        <v>1020</v>
      </c>
      <c r="H436" s="118" t="s">
        <v>1177</v>
      </c>
      <c r="I436" s="62"/>
      <c r="J436" s="63"/>
      <c r="K436" s="63"/>
      <c r="L436" s="15"/>
      <c r="M436" s="15"/>
      <c r="N436" s="15"/>
      <c r="O436" s="15"/>
      <c r="P436" s="15"/>
      <c r="Q436" s="15"/>
      <c r="R436" s="15"/>
      <c r="S436" s="15"/>
      <c r="T436" s="15"/>
      <c r="U436" s="15"/>
      <c r="V436" s="15"/>
      <c r="W436" s="15"/>
      <c r="X436" s="15"/>
      <c r="Y436" s="15"/>
      <c r="Z436" s="15"/>
    </row>
    <row r="437" ht="99.0" customHeight="1">
      <c r="A437" s="37" t="str">
        <f t="shared" si="2"/>
        <v>ST_383</v>
      </c>
      <c r="B437" s="117" t="s">
        <v>35</v>
      </c>
      <c r="C437" s="117" t="s">
        <v>37</v>
      </c>
      <c r="D437" s="117" t="s">
        <v>1233</v>
      </c>
      <c r="E437" s="117" t="s">
        <v>1166</v>
      </c>
      <c r="F437" s="117" t="s">
        <v>1234</v>
      </c>
      <c r="G437" s="117" t="s">
        <v>1235</v>
      </c>
      <c r="H437" s="118" t="s">
        <v>1236</v>
      </c>
      <c r="I437" s="62"/>
      <c r="J437" s="63"/>
      <c r="K437" s="63"/>
      <c r="L437" s="15"/>
      <c r="M437" s="15"/>
      <c r="N437" s="15"/>
      <c r="O437" s="15"/>
      <c r="P437" s="15"/>
      <c r="Q437" s="15"/>
      <c r="R437" s="15"/>
      <c r="S437" s="15"/>
      <c r="T437" s="15"/>
      <c r="U437" s="15"/>
      <c r="V437" s="15"/>
      <c r="W437" s="15"/>
      <c r="X437" s="15"/>
      <c r="Y437" s="15"/>
      <c r="Z437" s="15"/>
    </row>
    <row r="438" ht="12.75" customHeight="1">
      <c r="A438" s="37" t="str">
        <f t="shared" si="2"/>
        <v>ST_384</v>
      </c>
      <c r="B438" s="117" t="s">
        <v>35</v>
      </c>
      <c r="C438" s="117" t="s">
        <v>37</v>
      </c>
      <c r="D438" s="117" t="s">
        <v>185</v>
      </c>
      <c r="E438" s="117" t="s">
        <v>1166</v>
      </c>
      <c r="F438" s="117" t="s">
        <v>1218</v>
      </c>
      <c r="G438" s="117" t="s">
        <v>1219</v>
      </c>
      <c r="H438" s="118" t="s">
        <v>1220</v>
      </c>
      <c r="I438" s="62"/>
      <c r="J438" s="63"/>
      <c r="K438" s="63"/>
      <c r="L438" s="15"/>
      <c r="M438" s="15"/>
      <c r="N438" s="15"/>
      <c r="O438" s="15"/>
      <c r="P438" s="15"/>
      <c r="Q438" s="15"/>
      <c r="R438" s="15"/>
      <c r="S438" s="15"/>
      <c r="T438" s="15"/>
      <c r="U438" s="15"/>
      <c r="V438" s="15"/>
      <c r="W438" s="15"/>
      <c r="X438" s="15"/>
      <c r="Y438" s="15"/>
      <c r="Z438" s="15"/>
    </row>
    <row r="439" ht="15.0" customHeight="1">
      <c r="A439" s="37" t="str">
        <f t="shared" si="2"/>
        <v/>
      </c>
      <c r="B439" s="138" t="s">
        <v>1237</v>
      </c>
      <c r="C439" s="139"/>
      <c r="D439" s="139"/>
      <c r="E439" s="139"/>
      <c r="F439" s="139"/>
      <c r="G439" s="139"/>
      <c r="H439" s="139"/>
      <c r="I439" s="139"/>
      <c r="J439" s="139"/>
      <c r="K439" s="140"/>
      <c r="L439" s="15"/>
      <c r="M439" s="15"/>
      <c r="N439" s="15"/>
      <c r="O439" s="15"/>
      <c r="P439" s="15"/>
      <c r="Q439" s="15"/>
      <c r="R439" s="15"/>
      <c r="S439" s="15"/>
      <c r="T439" s="15"/>
      <c r="U439" s="15"/>
      <c r="V439" s="86"/>
      <c r="W439" s="86"/>
      <c r="X439" s="86"/>
      <c r="Y439" s="86"/>
      <c r="Z439" s="86"/>
    </row>
    <row r="440" ht="19.5" customHeight="1">
      <c r="A440" s="37" t="str">
        <f t="shared" si="2"/>
        <v/>
      </c>
      <c r="B440" s="115" t="s">
        <v>1238</v>
      </c>
      <c r="C440" s="116"/>
      <c r="D440" s="116"/>
      <c r="E440" s="116"/>
      <c r="F440" s="116"/>
      <c r="G440" s="116"/>
      <c r="H440" s="116"/>
      <c r="I440" s="90"/>
      <c r="J440" s="90"/>
      <c r="K440" s="91"/>
      <c r="L440" s="15"/>
      <c r="M440" s="15"/>
      <c r="N440" s="15"/>
      <c r="O440" s="15"/>
      <c r="P440" s="15"/>
      <c r="Q440" s="15"/>
      <c r="R440" s="15"/>
      <c r="S440" s="15"/>
      <c r="T440" s="15"/>
      <c r="U440" s="15"/>
      <c r="V440" s="15"/>
      <c r="W440" s="15"/>
      <c r="X440" s="15"/>
      <c r="Y440" s="15"/>
      <c r="Z440" s="15"/>
    </row>
    <row r="441" ht="318.75" customHeight="1">
      <c r="A441" s="37" t="str">
        <f t="shared" si="2"/>
        <v>ST_385</v>
      </c>
      <c r="B441" s="117" t="s">
        <v>35</v>
      </c>
      <c r="C441" s="117" t="s">
        <v>1239</v>
      </c>
      <c r="D441" s="141" t="s">
        <v>1240</v>
      </c>
      <c r="E441" s="141" t="s">
        <v>1241</v>
      </c>
      <c r="F441" s="141" t="s">
        <v>1242</v>
      </c>
      <c r="G441" s="141" t="s">
        <v>1243</v>
      </c>
      <c r="H441" s="118" t="s">
        <v>1244</v>
      </c>
      <c r="I441" s="119"/>
      <c r="J441" s="63"/>
      <c r="K441" s="63"/>
      <c r="L441" s="15"/>
      <c r="M441" s="15"/>
      <c r="N441" s="15"/>
      <c r="O441" s="15"/>
      <c r="P441" s="15"/>
      <c r="Q441" s="15"/>
      <c r="R441" s="15"/>
      <c r="S441" s="15"/>
      <c r="T441" s="15"/>
      <c r="U441" s="15"/>
      <c r="V441" s="15"/>
      <c r="W441" s="15"/>
      <c r="X441" s="15"/>
      <c r="Y441" s="15"/>
      <c r="Z441" s="15"/>
    </row>
    <row r="442" ht="12.75" customHeight="1">
      <c r="A442" s="37" t="str">
        <f t="shared" si="2"/>
        <v>ST_386</v>
      </c>
      <c r="B442" s="120" t="s">
        <v>35</v>
      </c>
      <c r="C442" s="120" t="s">
        <v>1239</v>
      </c>
      <c r="D442" s="142" t="s">
        <v>1245</v>
      </c>
      <c r="E442" s="142" t="s">
        <v>1241</v>
      </c>
      <c r="F442" s="120" t="s">
        <v>1246</v>
      </c>
      <c r="G442" s="117" t="s">
        <v>1247</v>
      </c>
      <c r="H442" s="118" t="s">
        <v>1248</v>
      </c>
      <c r="I442" s="119"/>
      <c r="J442" s="63"/>
      <c r="K442" s="63"/>
      <c r="L442" s="15"/>
      <c r="M442" s="15"/>
      <c r="N442" s="15"/>
      <c r="O442" s="15"/>
      <c r="P442" s="15"/>
      <c r="Q442" s="15"/>
      <c r="R442" s="15"/>
      <c r="S442" s="15"/>
      <c r="T442" s="15"/>
      <c r="U442" s="15"/>
      <c r="V442" s="15"/>
      <c r="W442" s="15"/>
      <c r="X442" s="15"/>
      <c r="Y442" s="15"/>
      <c r="Z442" s="15"/>
    </row>
    <row r="443" ht="12.75" customHeight="1">
      <c r="A443" s="37" t="str">
        <f t="shared" si="2"/>
        <v>ST_387</v>
      </c>
      <c r="B443" s="32"/>
      <c r="C443" s="32"/>
      <c r="D443" s="32"/>
      <c r="E443" s="32"/>
      <c r="F443" s="32"/>
      <c r="G443" s="117" t="s">
        <v>1249</v>
      </c>
      <c r="H443" s="118" t="s">
        <v>1250</v>
      </c>
      <c r="I443" s="119"/>
      <c r="J443" s="63"/>
      <c r="K443" s="63"/>
      <c r="L443" s="15"/>
      <c r="M443" s="15"/>
      <c r="N443" s="15"/>
      <c r="O443" s="15"/>
      <c r="P443" s="15"/>
      <c r="Q443" s="15"/>
      <c r="R443" s="15"/>
      <c r="S443" s="15"/>
      <c r="T443" s="15"/>
      <c r="U443" s="15"/>
      <c r="V443" s="15"/>
      <c r="W443" s="15"/>
      <c r="X443" s="15"/>
      <c r="Y443" s="15"/>
      <c r="Z443" s="15"/>
    </row>
    <row r="444" ht="66.0" customHeight="1">
      <c r="A444" s="37" t="str">
        <f t="shared" si="2"/>
        <v>ST_388</v>
      </c>
      <c r="B444" s="117" t="s">
        <v>508</v>
      </c>
      <c r="C444" s="117" t="s">
        <v>189</v>
      </c>
      <c r="D444" s="117" t="s">
        <v>1251</v>
      </c>
      <c r="E444" s="117" t="s">
        <v>1252</v>
      </c>
      <c r="F444" s="117" t="s">
        <v>1253</v>
      </c>
      <c r="G444" s="117" t="s">
        <v>1254</v>
      </c>
      <c r="H444" s="118" t="s">
        <v>1255</v>
      </c>
      <c r="I444" s="119"/>
      <c r="J444" s="63"/>
      <c r="K444" s="63"/>
      <c r="L444" s="15"/>
      <c r="M444" s="15"/>
      <c r="N444" s="15"/>
      <c r="O444" s="15"/>
      <c r="P444" s="15"/>
      <c r="Q444" s="15"/>
      <c r="R444" s="15"/>
      <c r="S444" s="15"/>
      <c r="T444" s="15"/>
      <c r="U444" s="15"/>
      <c r="V444" s="15"/>
      <c r="W444" s="15"/>
      <c r="X444" s="15"/>
      <c r="Y444" s="15"/>
      <c r="Z444" s="15"/>
    </row>
    <row r="445" ht="12.75" customHeight="1">
      <c r="A445" s="37" t="str">
        <f t="shared" si="2"/>
        <v>ST_389</v>
      </c>
      <c r="B445" s="128" t="s">
        <v>35</v>
      </c>
      <c r="C445" s="128" t="s">
        <v>1239</v>
      </c>
      <c r="D445" s="128" t="s">
        <v>1256</v>
      </c>
      <c r="E445" s="143" t="s">
        <v>1241</v>
      </c>
      <c r="F445" s="128" t="s">
        <v>1257</v>
      </c>
      <c r="G445" s="117" t="s">
        <v>1258</v>
      </c>
      <c r="H445" s="118" t="s">
        <v>1259</v>
      </c>
      <c r="I445" s="119"/>
      <c r="J445" s="63"/>
      <c r="K445" s="63"/>
      <c r="L445" s="15"/>
      <c r="M445" s="15"/>
      <c r="N445" s="15"/>
      <c r="O445" s="15"/>
      <c r="P445" s="15"/>
      <c r="Q445" s="15"/>
      <c r="R445" s="15"/>
      <c r="S445" s="15"/>
      <c r="T445" s="15"/>
      <c r="U445" s="15"/>
      <c r="V445" s="15"/>
      <c r="W445" s="15"/>
      <c r="X445" s="15"/>
      <c r="Y445" s="15"/>
      <c r="Z445" s="15"/>
    </row>
    <row r="446" ht="12.75" customHeight="1">
      <c r="A446" s="37" t="str">
        <f t="shared" si="2"/>
        <v>ST_390</v>
      </c>
      <c r="B446" s="128" t="s">
        <v>254</v>
      </c>
      <c r="C446" s="128" t="s">
        <v>1239</v>
      </c>
      <c r="D446" s="128" t="s">
        <v>1260</v>
      </c>
      <c r="E446" s="143" t="s">
        <v>1241</v>
      </c>
      <c r="F446" s="128" t="s">
        <v>1261</v>
      </c>
      <c r="G446" s="117" t="s">
        <v>1262</v>
      </c>
      <c r="H446" s="118" t="s">
        <v>1263</v>
      </c>
      <c r="I446" s="119"/>
      <c r="J446" s="63"/>
      <c r="K446" s="63"/>
      <c r="L446" s="15"/>
      <c r="M446" s="15"/>
      <c r="N446" s="15"/>
      <c r="O446" s="15"/>
      <c r="P446" s="15"/>
      <c r="Q446" s="15"/>
      <c r="R446" s="15"/>
      <c r="S446" s="15"/>
      <c r="T446" s="15"/>
      <c r="U446" s="15"/>
      <c r="V446" s="15"/>
      <c r="W446" s="15"/>
      <c r="X446" s="15"/>
      <c r="Y446" s="15"/>
      <c r="Z446" s="15"/>
    </row>
    <row r="447" ht="12.75" customHeight="1">
      <c r="A447" s="37" t="str">
        <f t="shared" si="2"/>
        <v>ST_391</v>
      </c>
      <c r="B447" s="117" t="s">
        <v>35</v>
      </c>
      <c r="C447" s="117" t="s">
        <v>1239</v>
      </c>
      <c r="D447" s="117" t="s">
        <v>1264</v>
      </c>
      <c r="E447" s="141" t="s">
        <v>1265</v>
      </c>
      <c r="F447" s="141" t="s">
        <v>1266</v>
      </c>
      <c r="G447" s="117" t="s">
        <v>1267</v>
      </c>
      <c r="H447" s="118" t="s">
        <v>1268</v>
      </c>
      <c r="I447" s="119"/>
      <c r="J447" s="63"/>
      <c r="K447" s="63"/>
      <c r="L447" s="15"/>
      <c r="M447" s="15"/>
      <c r="N447" s="15"/>
      <c r="O447" s="15"/>
      <c r="P447" s="15"/>
      <c r="Q447" s="15"/>
      <c r="R447" s="15"/>
      <c r="S447" s="15"/>
      <c r="T447" s="15"/>
      <c r="U447" s="15"/>
      <c r="V447" s="15"/>
      <c r="W447" s="15"/>
      <c r="X447" s="15"/>
      <c r="Y447" s="15"/>
      <c r="Z447" s="15"/>
    </row>
    <row r="448" ht="80.25" customHeight="1">
      <c r="A448" s="37" t="str">
        <f t="shared" si="2"/>
        <v>ST_392</v>
      </c>
      <c r="B448" s="117" t="s">
        <v>35</v>
      </c>
      <c r="C448" s="117" t="s">
        <v>1239</v>
      </c>
      <c r="D448" s="117" t="s">
        <v>1269</v>
      </c>
      <c r="E448" s="141" t="s">
        <v>1241</v>
      </c>
      <c r="F448" s="117" t="s">
        <v>1270</v>
      </c>
      <c r="G448" s="117" t="s">
        <v>1271</v>
      </c>
      <c r="H448" s="118" t="s">
        <v>1272</v>
      </c>
      <c r="I448" s="119"/>
      <c r="J448" s="63"/>
      <c r="K448" s="63"/>
      <c r="L448" s="15"/>
      <c r="M448" s="15"/>
      <c r="N448" s="15"/>
      <c r="O448" s="15"/>
      <c r="P448" s="15"/>
      <c r="Q448" s="15"/>
      <c r="R448" s="15"/>
      <c r="S448" s="15"/>
      <c r="T448" s="15"/>
      <c r="U448" s="15"/>
      <c r="V448" s="15"/>
      <c r="W448" s="15"/>
      <c r="X448" s="15"/>
      <c r="Y448" s="15"/>
      <c r="Z448" s="15"/>
    </row>
    <row r="449" ht="12.75" customHeight="1">
      <c r="A449" s="37" t="str">
        <f t="shared" si="2"/>
        <v>ST_393</v>
      </c>
      <c r="B449" s="120" t="s">
        <v>35</v>
      </c>
      <c r="C449" s="120" t="s">
        <v>1239</v>
      </c>
      <c r="D449" s="120" t="s">
        <v>1273</v>
      </c>
      <c r="E449" s="142" t="s">
        <v>1241</v>
      </c>
      <c r="F449" s="120" t="s">
        <v>1274</v>
      </c>
      <c r="G449" s="117" t="s">
        <v>1275</v>
      </c>
      <c r="H449" s="118" t="s">
        <v>1276</v>
      </c>
      <c r="I449" s="119"/>
      <c r="J449" s="63"/>
      <c r="K449" s="63"/>
      <c r="L449" s="15"/>
      <c r="M449" s="15"/>
      <c r="N449" s="15"/>
      <c r="O449" s="15"/>
      <c r="P449" s="15"/>
      <c r="Q449" s="15"/>
      <c r="R449" s="15"/>
      <c r="S449" s="15"/>
      <c r="T449" s="15"/>
      <c r="U449" s="15"/>
      <c r="V449" s="15"/>
      <c r="W449" s="15"/>
      <c r="X449" s="15"/>
      <c r="Y449" s="15"/>
      <c r="Z449" s="15"/>
    </row>
    <row r="450" ht="12.75" customHeight="1">
      <c r="A450" s="37" t="str">
        <f t="shared" si="2"/>
        <v>ST_394</v>
      </c>
      <c r="B450" s="32"/>
      <c r="C450" s="32"/>
      <c r="D450" s="32"/>
      <c r="E450" s="32"/>
      <c r="F450" s="32"/>
      <c r="G450" s="117" t="s">
        <v>1277</v>
      </c>
      <c r="H450" s="136" t="s">
        <v>148</v>
      </c>
      <c r="I450" s="119"/>
      <c r="J450" s="63"/>
      <c r="K450" s="63"/>
      <c r="L450" s="15"/>
      <c r="M450" s="15"/>
      <c r="N450" s="15"/>
      <c r="O450" s="15"/>
      <c r="P450" s="15"/>
      <c r="Q450" s="15"/>
      <c r="R450" s="15"/>
      <c r="S450" s="15"/>
      <c r="T450" s="15"/>
      <c r="U450" s="15"/>
      <c r="V450" s="15"/>
      <c r="W450" s="15"/>
      <c r="X450" s="15"/>
      <c r="Y450" s="15"/>
      <c r="Z450" s="15"/>
    </row>
    <row r="451" ht="12.75" customHeight="1">
      <c r="A451" s="37" t="str">
        <f t="shared" si="2"/>
        <v>ST_395</v>
      </c>
      <c r="B451" s="120" t="s">
        <v>508</v>
      </c>
      <c r="C451" s="120" t="s">
        <v>189</v>
      </c>
      <c r="D451" s="120" t="s">
        <v>1251</v>
      </c>
      <c r="E451" s="120" t="s">
        <v>1252</v>
      </c>
      <c r="F451" s="120" t="s">
        <v>1278</v>
      </c>
      <c r="G451" s="117" t="s">
        <v>1254</v>
      </c>
      <c r="H451" s="118" t="s">
        <v>1279</v>
      </c>
      <c r="I451" s="62"/>
      <c r="J451" s="63"/>
      <c r="K451" s="63"/>
      <c r="L451" s="15"/>
      <c r="M451" s="15"/>
      <c r="N451" s="15"/>
      <c r="O451" s="15"/>
      <c r="P451" s="15"/>
      <c r="Q451" s="15"/>
      <c r="R451" s="15"/>
      <c r="S451" s="15"/>
      <c r="T451" s="15"/>
      <c r="U451" s="15"/>
      <c r="V451" s="15"/>
      <c r="W451" s="15"/>
      <c r="X451" s="15"/>
      <c r="Y451" s="15"/>
      <c r="Z451" s="15"/>
    </row>
    <row r="452" ht="12.75" customHeight="1">
      <c r="A452" s="37" t="str">
        <f t="shared" si="2"/>
        <v>ST_396</v>
      </c>
      <c r="B452" s="32"/>
      <c r="C452" s="32"/>
      <c r="D452" s="32"/>
      <c r="E452" s="32"/>
      <c r="F452" s="32"/>
      <c r="G452" s="117" t="s">
        <v>1277</v>
      </c>
      <c r="H452" s="136" t="s">
        <v>148</v>
      </c>
      <c r="I452" s="62"/>
      <c r="J452" s="63"/>
      <c r="K452" s="63"/>
      <c r="L452" s="15"/>
      <c r="M452" s="15"/>
      <c r="N452" s="15"/>
      <c r="O452" s="15"/>
      <c r="P452" s="15"/>
      <c r="Q452" s="15"/>
      <c r="R452" s="15"/>
      <c r="S452" s="15"/>
      <c r="T452" s="15"/>
      <c r="U452" s="15"/>
      <c r="V452" s="15"/>
      <c r="W452" s="15"/>
      <c r="X452" s="15"/>
      <c r="Y452" s="15"/>
      <c r="Z452" s="15"/>
    </row>
    <row r="453" ht="12.75" customHeight="1">
      <c r="A453" s="37" t="str">
        <f t="shared" si="2"/>
        <v>ST_397</v>
      </c>
      <c r="B453" s="120" t="s">
        <v>508</v>
      </c>
      <c r="C453" s="120" t="s">
        <v>189</v>
      </c>
      <c r="D453" s="120" t="s">
        <v>1280</v>
      </c>
      <c r="E453" s="120" t="s">
        <v>1252</v>
      </c>
      <c r="F453" s="142" t="s">
        <v>1281</v>
      </c>
      <c r="G453" s="117" t="s">
        <v>1282</v>
      </c>
      <c r="H453" s="118" t="s">
        <v>1283</v>
      </c>
      <c r="I453" s="62"/>
      <c r="J453" s="63"/>
      <c r="K453" s="63"/>
      <c r="L453" s="15"/>
      <c r="M453" s="15"/>
      <c r="N453" s="15"/>
      <c r="O453" s="15"/>
      <c r="P453" s="15"/>
      <c r="Q453" s="15"/>
      <c r="R453" s="15"/>
      <c r="S453" s="15"/>
      <c r="T453" s="15"/>
      <c r="U453" s="15"/>
      <c r="V453" s="15"/>
      <c r="W453" s="15"/>
      <c r="X453" s="15"/>
      <c r="Y453" s="15"/>
      <c r="Z453" s="15"/>
    </row>
    <row r="454" ht="12.75" customHeight="1">
      <c r="A454" s="37" t="str">
        <f t="shared" si="2"/>
        <v>ST_398</v>
      </c>
      <c r="B454" s="32"/>
      <c r="C454" s="32"/>
      <c r="D454" s="32"/>
      <c r="E454" s="32"/>
      <c r="F454" s="32"/>
      <c r="G454" s="117" t="s">
        <v>1284</v>
      </c>
      <c r="H454" s="118" t="s">
        <v>1285</v>
      </c>
      <c r="I454" s="62"/>
      <c r="J454" s="63"/>
      <c r="K454" s="63"/>
      <c r="L454" s="15"/>
      <c r="M454" s="15"/>
      <c r="N454" s="15"/>
      <c r="O454" s="15"/>
      <c r="P454" s="15"/>
      <c r="Q454" s="15"/>
      <c r="R454" s="15"/>
      <c r="S454" s="15"/>
      <c r="T454" s="15"/>
      <c r="U454" s="15"/>
      <c r="V454" s="15"/>
      <c r="W454" s="15"/>
      <c r="X454" s="15"/>
      <c r="Y454" s="15"/>
      <c r="Z454" s="15"/>
    </row>
    <row r="455" ht="12.75" customHeight="1">
      <c r="A455" s="37" t="str">
        <f t="shared" si="2"/>
        <v>ST_399</v>
      </c>
      <c r="B455" s="63" t="s">
        <v>842</v>
      </c>
      <c r="C455" s="117" t="s">
        <v>189</v>
      </c>
      <c r="D455" s="117" t="s">
        <v>1286</v>
      </c>
      <c r="E455" s="117" t="s">
        <v>1252</v>
      </c>
      <c r="F455" s="117" t="s">
        <v>1287</v>
      </c>
      <c r="G455" s="117" t="s">
        <v>1288</v>
      </c>
      <c r="H455" s="118" t="s">
        <v>1289</v>
      </c>
      <c r="I455" s="62"/>
      <c r="J455" s="63"/>
      <c r="K455" s="63"/>
      <c r="L455" s="15"/>
      <c r="M455" s="15"/>
      <c r="N455" s="15"/>
      <c r="O455" s="15"/>
      <c r="P455" s="15"/>
      <c r="Q455" s="15"/>
      <c r="R455" s="15"/>
      <c r="S455" s="15"/>
      <c r="T455" s="15"/>
      <c r="U455" s="15"/>
      <c r="V455" s="15"/>
      <c r="W455" s="15"/>
      <c r="X455" s="15"/>
      <c r="Y455" s="15"/>
      <c r="Z455" s="15"/>
    </row>
    <row r="456" ht="12.75" customHeight="1">
      <c r="A456" s="37" t="str">
        <f t="shared" si="2"/>
        <v>ST_400</v>
      </c>
      <c r="B456" s="120" t="s">
        <v>35</v>
      </c>
      <c r="C456" s="120" t="s">
        <v>1239</v>
      </c>
      <c r="D456" s="120" t="s">
        <v>1290</v>
      </c>
      <c r="E456" s="142" t="s">
        <v>1241</v>
      </c>
      <c r="F456" s="142" t="s">
        <v>1291</v>
      </c>
      <c r="G456" s="117" t="s">
        <v>1292</v>
      </c>
      <c r="H456" s="118" t="s">
        <v>1293</v>
      </c>
      <c r="I456" s="62"/>
      <c r="J456" s="63"/>
      <c r="K456" s="63"/>
      <c r="L456" s="15"/>
      <c r="M456" s="15"/>
      <c r="N456" s="15"/>
      <c r="O456" s="15"/>
      <c r="P456" s="15"/>
      <c r="Q456" s="15"/>
      <c r="R456" s="15"/>
      <c r="S456" s="15"/>
      <c r="T456" s="15"/>
      <c r="U456" s="15"/>
      <c r="V456" s="15"/>
      <c r="W456" s="15"/>
      <c r="X456" s="15"/>
      <c r="Y456" s="15"/>
      <c r="Z456" s="15"/>
    </row>
    <row r="457" ht="12.75" customHeight="1">
      <c r="A457" s="37" t="str">
        <f t="shared" si="2"/>
        <v>ST_401</v>
      </c>
      <c r="B457" s="32"/>
      <c r="C457" s="32"/>
      <c r="D457" s="32"/>
      <c r="E457" s="32"/>
      <c r="F457" s="32"/>
      <c r="G457" s="117" t="s">
        <v>537</v>
      </c>
      <c r="H457" s="118" t="s">
        <v>1294</v>
      </c>
      <c r="I457" s="62"/>
      <c r="J457" s="63"/>
      <c r="K457" s="63"/>
      <c r="L457" s="15"/>
      <c r="M457" s="15"/>
      <c r="N457" s="15"/>
      <c r="O457" s="15"/>
      <c r="P457" s="15"/>
      <c r="Q457" s="15"/>
      <c r="R457" s="15"/>
      <c r="S457" s="15"/>
      <c r="T457" s="15"/>
      <c r="U457" s="15"/>
      <c r="V457" s="15"/>
      <c r="W457" s="15"/>
      <c r="X457" s="15"/>
      <c r="Y457" s="15"/>
      <c r="Z457" s="15"/>
    </row>
    <row r="458" ht="12.75" customHeight="1">
      <c r="A458" s="37" t="str">
        <f t="shared" si="2"/>
        <v>ST_402</v>
      </c>
      <c r="B458" s="117" t="s">
        <v>35</v>
      </c>
      <c r="C458" s="117" t="s">
        <v>1239</v>
      </c>
      <c r="D458" s="117" t="s">
        <v>1295</v>
      </c>
      <c r="E458" s="141" t="s">
        <v>1241</v>
      </c>
      <c r="F458" s="117" t="s">
        <v>1296</v>
      </c>
      <c r="G458" s="117" t="s">
        <v>1297</v>
      </c>
      <c r="H458" s="117" t="s">
        <v>1298</v>
      </c>
      <c r="I458" s="62"/>
      <c r="J458" s="63"/>
      <c r="K458" s="63"/>
      <c r="L458" s="15"/>
      <c r="M458" s="15"/>
      <c r="N458" s="15"/>
      <c r="O458" s="15"/>
      <c r="P458" s="15"/>
      <c r="Q458" s="15"/>
      <c r="R458" s="15"/>
      <c r="S458" s="15"/>
      <c r="T458" s="15"/>
      <c r="U458" s="15"/>
      <c r="V458" s="15"/>
      <c r="W458" s="15"/>
      <c r="X458" s="15"/>
      <c r="Y458" s="15"/>
      <c r="Z458" s="15"/>
    </row>
    <row r="459" ht="12.75" customHeight="1">
      <c r="A459" s="37" t="str">
        <f t="shared" si="2"/>
        <v>ST_403</v>
      </c>
      <c r="B459" s="117" t="s">
        <v>254</v>
      </c>
      <c r="C459" s="117" t="s">
        <v>1239</v>
      </c>
      <c r="D459" s="117" t="s">
        <v>1299</v>
      </c>
      <c r="E459" s="141" t="s">
        <v>1241</v>
      </c>
      <c r="F459" s="117" t="s">
        <v>1300</v>
      </c>
      <c r="G459" s="117" t="s">
        <v>1301</v>
      </c>
      <c r="H459" s="117" t="s">
        <v>1302</v>
      </c>
      <c r="I459" s="62"/>
      <c r="J459" s="63"/>
      <c r="K459" s="63"/>
      <c r="L459" s="15"/>
      <c r="M459" s="15"/>
      <c r="N459" s="15"/>
      <c r="O459" s="15"/>
      <c r="P459" s="15"/>
      <c r="Q459" s="15"/>
      <c r="R459" s="15"/>
      <c r="S459" s="15"/>
      <c r="T459" s="15"/>
      <c r="U459" s="15"/>
      <c r="V459" s="15"/>
      <c r="W459" s="15"/>
      <c r="X459" s="15"/>
      <c r="Y459" s="15"/>
      <c r="Z459" s="15"/>
    </row>
    <row r="460" ht="12.75" customHeight="1">
      <c r="A460" s="37" t="str">
        <f t="shared" si="2"/>
        <v>ST_404</v>
      </c>
      <c r="B460" s="69" t="s">
        <v>842</v>
      </c>
      <c r="C460" s="120" t="s">
        <v>189</v>
      </c>
      <c r="D460" s="120" t="s">
        <v>1303</v>
      </c>
      <c r="E460" s="120" t="s">
        <v>1252</v>
      </c>
      <c r="F460" s="120" t="s">
        <v>1304</v>
      </c>
      <c r="G460" s="117" t="s">
        <v>1305</v>
      </c>
      <c r="H460" s="141" t="s">
        <v>1306</v>
      </c>
      <c r="I460" s="62"/>
      <c r="J460" s="63"/>
      <c r="K460" s="63"/>
      <c r="L460" s="15"/>
      <c r="M460" s="15"/>
      <c r="N460" s="15"/>
      <c r="O460" s="15"/>
      <c r="P460" s="15"/>
      <c r="Q460" s="15"/>
      <c r="R460" s="15"/>
      <c r="S460" s="15"/>
      <c r="T460" s="15"/>
      <c r="U460" s="15"/>
      <c r="V460" s="15"/>
      <c r="W460" s="15"/>
      <c r="X460" s="15"/>
      <c r="Y460" s="15"/>
      <c r="Z460" s="15"/>
    </row>
    <row r="461" ht="12.75" customHeight="1">
      <c r="A461" s="37" t="str">
        <f t="shared" si="2"/>
        <v>ST_405</v>
      </c>
      <c r="B461" s="32"/>
      <c r="C461" s="32"/>
      <c r="D461" s="32"/>
      <c r="E461" s="32"/>
      <c r="F461" s="32"/>
      <c r="G461" s="117" t="s">
        <v>1307</v>
      </c>
      <c r="H461" s="117" t="s">
        <v>1308</v>
      </c>
      <c r="I461" s="62"/>
      <c r="J461" s="63"/>
      <c r="K461" s="63"/>
      <c r="L461" s="15"/>
      <c r="M461" s="15"/>
      <c r="N461" s="15"/>
      <c r="O461" s="15"/>
      <c r="P461" s="15"/>
      <c r="Q461" s="15"/>
      <c r="R461" s="15"/>
      <c r="S461" s="15"/>
      <c r="T461" s="15"/>
      <c r="U461" s="15"/>
      <c r="V461" s="15"/>
      <c r="W461" s="15"/>
      <c r="X461" s="15"/>
      <c r="Y461" s="15"/>
      <c r="Z461" s="15"/>
    </row>
    <row r="462" ht="19.5" customHeight="1">
      <c r="A462" s="37" t="str">
        <f t="shared" si="2"/>
        <v/>
      </c>
      <c r="B462" s="115" t="s">
        <v>1309</v>
      </c>
      <c r="C462" s="116"/>
      <c r="D462" s="116"/>
      <c r="E462" s="116"/>
      <c r="F462" s="116"/>
      <c r="G462" s="116"/>
      <c r="H462" s="116"/>
      <c r="I462" s="90"/>
      <c r="J462" s="90"/>
      <c r="K462" s="91"/>
      <c r="L462" s="15"/>
      <c r="M462" s="15"/>
      <c r="N462" s="15"/>
      <c r="O462" s="15"/>
      <c r="P462" s="15"/>
      <c r="Q462" s="15"/>
      <c r="R462" s="15"/>
      <c r="S462" s="15"/>
      <c r="T462" s="15"/>
      <c r="U462" s="15"/>
      <c r="V462" s="15"/>
      <c r="W462" s="15"/>
      <c r="X462" s="15"/>
      <c r="Y462" s="15"/>
      <c r="Z462" s="15"/>
    </row>
    <row r="463" ht="311.25" customHeight="1">
      <c r="A463" s="37" t="str">
        <f t="shared" si="2"/>
        <v>ST_406</v>
      </c>
      <c r="B463" s="117" t="s">
        <v>35</v>
      </c>
      <c r="C463" s="117" t="s">
        <v>1239</v>
      </c>
      <c r="D463" s="117" t="s">
        <v>1310</v>
      </c>
      <c r="E463" s="117" t="s">
        <v>813</v>
      </c>
      <c r="F463" s="117" t="s">
        <v>1311</v>
      </c>
      <c r="G463" s="117" t="s">
        <v>1312</v>
      </c>
      <c r="H463" s="118" t="s">
        <v>1313</v>
      </c>
      <c r="I463" s="119"/>
      <c r="J463" s="63"/>
      <c r="K463" s="63"/>
      <c r="L463" s="15"/>
      <c r="M463" s="15"/>
      <c r="N463" s="15"/>
      <c r="O463" s="15"/>
      <c r="P463" s="15"/>
      <c r="Q463" s="15"/>
      <c r="R463" s="15"/>
      <c r="S463" s="15"/>
      <c r="T463" s="15"/>
      <c r="U463" s="15"/>
      <c r="V463" s="15"/>
      <c r="W463" s="15"/>
      <c r="X463" s="15"/>
      <c r="Y463" s="15"/>
      <c r="Z463" s="15"/>
    </row>
    <row r="464" ht="12.75" customHeight="1">
      <c r="A464" s="37" t="str">
        <f t="shared" si="2"/>
        <v>ST_407</v>
      </c>
      <c r="B464" s="120" t="s">
        <v>35</v>
      </c>
      <c r="C464" s="120" t="s">
        <v>1239</v>
      </c>
      <c r="D464" s="120" t="s">
        <v>1314</v>
      </c>
      <c r="E464" s="120" t="s">
        <v>813</v>
      </c>
      <c r="F464" s="120" t="s">
        <v>1246</v>
      </c>
      <c r="G464" s="117" t="s">
        <v>1247</v>
      </c>
      <c r="H464" s="118" t="s">
        <v>1315</v>
      </c>
      <c r="I464" s="119"/>
      <c r="J464" s="63"/>
      <c r="K464" s="63"/>
      <c r="L464" s="15"/>
      <c r="M464" s="15"/>
      <c r="N464" s="15"/>
      <c r="O464" s="15"/>
      <c r="P464" s="15"/>
      <c r="Q464" s="15"/>
      <c r="R464" s="15"/>
      <c r="S464" s="15"/>
      <c r="T464" s="15"/>
      <c r="U464" s="15"/>
      <c r="V464" s="15"/>
      <c r="W464" s="15"/>
      <c r="X464" s="15"/>
      <c r="Y464" s="15"/>
      <c r="Z464" s="15"/>
    </row>
    <row r="465" ht="12.75" customHeight="1">
      <c r="A465" s="37" t="str">
        <f t="shared" si="2"/>
        <v>ST_408</v>
      </c>
      <c r="B465" s="32"/>
      <c r="C465" s="32"/>
      <c r="D465" s="32"/>
      <c r="E465" s="32"/>
      <c r="F465" s="32"/>
      <c r="G465" s="141" t="s">
        <v>1316</v>
      </c>
      <c r="H465" s="118" t="s">
        <v>1317</v>
      </c>
      <c r="I465" s="119"/>
      <c r="J465" s="63"/>
      <c r="K465" s="63"/>
      <c r="L465" s="15"/>
      <c r="M465" s="15"/>
      <c r="N465" s="15"/>
      <c r="O465" s="15"/>
      <c r="P465" s="15"/>
      <c r="Q465" s="15"/>
      <c r="R465" s="15"/>
      <c r="S465" s="15"/>
      <c r="T465" s="15"/>
      <c r="U465" s="15"/>
      <c r="V465" s="15"/>
      <c r="W465" s="15"/>
      <c r="X465" s="15"/>
      <c r="Y465" s="15"/>
      <c r="Z465" s="15"/>
    </row>
    <row r="466" ht="65.25" customHeight="1">
      <c r="A466" s="37" t="str">
        <f t="shared" si="2"/>
        <v>ST_409</v>
      </c>
      <c r="B466" s="117" t="s">
        <v>508</v>
      </c>
      <c r="C466" s="117" t="s">
        <v>189</v>
      </c>
      <c r="D466" s="117" t="s">
        <v>1251</v>
      </c>
      <c r="E466" s="117" t="s">
        <v>813</v>
      </c>
      <c r="F466" s="117" t="s">
        <v>1253</v>
      </c>
      <c r="G466" s="117" t="s">
        <v>1254</v>
      </c>
      <c r="H466" s="118" t="s">
        <v>1255</v>
      </c>
      <c r="I466" s="119"/>
      <c r="J466" s="63"/>
      <c r="K466" s="63"/>
      <c r="L466" s="15"/>
      <c r="M466" s="15"/>
      <c r="N466" s="15"/>
      <c r="O466" s="15"/>
      <c r="P466" s="15"/>
      <c r="Q466" s="15"/>
      <c r="R466" s="15"/>
      <c r="S466" s="15"/>
      <c r="T466" s="15"/>
      <c r="U466" s="15"/>
      <c r="V466" s="15"/>
      <c r="W466" s="15"/>
      <c r="X466" s="15"/>
      <c r="Y466" s="15"/>
      <c r="Z466" s="15"/>
    </row>
    <row r="467" ht="12.75" customHeight="1">
      <c r="A467" s="37" t="str">
        <f t="shared" si="2"/>
        <v>ST_410</v>
      </c>
      <c r="B467" s="128" t="s">
        <v>35</v>
      </c>
      <c r="C467" s="128" t="s">
        <v>1239</v>
      </c>
      <c r="D467" s="128" t="s">
        <v>1318</v>
      </c>
      <c r="E467" s="128" t="s">
        <v>813</v>
      </c>
      <c r="F467" s="128" t="s">
        <v>1257</v>
      </c>
      <c r="G467" s="117" t="s">
        <v>1258</v>
      </c>
      <c r="H467" s="118" t="s">
        <v>1259</v>
      </c>
      <c r="I467" s="119"/>
      <c r="J467" s="63"/>
      <c r="K467" s="63"/>
      <c r="L467" s="15"/>
      <c r="M467" s="15"/>
      <c r="N467" s="15"/>
      <c r="O467" s="15"/>
      <c r="P467" s="15"/>
      <c r="Q467" s="15"/>
      <c r="R467" s="15"/>
      <c r="S467" s="15"/>
      <c r="T467" s="15"/>
      <c r="U467" s="15"/>
      <c r="V467" s="15"/>
      <c r="W467" s="15"/>
      <c r="X467" s="15"/>
      <c r="Y467" s="15"/>
      <c r="Z467" s="15"/>
    </row>
    <row r="468" ht="12.75" customHeight="1">
      <c r="A468" s="37" t="str">
        <f t="shared" si="2"/>
        <v>ST_411</v>
      </c>
      <c r="B468" s="128" t="s">
        <v>254</v>
      </c>
      <c r="C468" s="128" t="s">
        <v>1239</v>
      </c>
      <c r="D468" s="128" t="s">
        <v>1260</v>
      </c>
      <c r="E468" s="128" t="s">
        <v>813</v>
      </c>
      <c r="F468" s="128" t="s">
        <v>1261</v>
      </c>
      <c r="G468" s="141" t="s">
        <v>1319</v>
      </c>
      <c r="H468" s="118" t="s">
        <v>1320</v>
      </c>
      <c r="I468" s="119"/>
      <c r="J468" s="63"/>
      <c r="K468" s="63"/>
      <c r="L468" s="15"/>
      <c r="M468" s="15"/>
      <c r="N468" s="15"/>
      <c r="O468" s="15"/>
      <c r="P468" s="15"/>
      <c r="Q468" s="15"/>
      <c r="R468" s="15"/>
      <c r="S468" s="15"/>
      <c r="T468" s="15"/>
      <c r="U468" s="15"/>
      <c r="V468" s="15"/>
      <c r="W468" s="15"/>
      <c r="X468" s="15"/>
      <c r="Y468" s="15"/>
      <c r="Z468" s="15"/>
    </row>
    <row r="469" ht="12.75" customHeight="1">
      <c r="A469" s="37" t="str">
        <f t="shared" si="2"/>
        <v>ST_412</v>
      </c>
      <c r="B469" s="117" t="s">
        <v>35</v>
      </c>
      <c r="C469" s="117" t="s">
        <v>1239</v>
      </c>
      <c r="D469" s="117" t="s">
        <v>1321</v>
      </c>
      <c r="E469" s="141" t="s">
        <v>1322</v>
      </c>
      <c r="F469" s="141" t="s">
        <v>1323</v>
      </c>
      <c r="G469" s="117" t="s">
        <v>1324</v>
      </c>
      <c r="H469" s="136" t="s">
        <v>1325</v>
      </c>
      <c r="I469" s="119"/>
      <c r="J469" s="63"/>
      <c r="K469" s="63"/>
      <c r="L469" s="15"/>
      <c r="M469" s="15"/>
      <c r="N469" s="15"/>
      <c r="O469" s="15"/>
      <c r="P469" s="15"/>
      <c r="Q469" s="15"/>
      <c r="R469" s="15"/>
      <c r="S469" s="15"/>
      <c r="T469" s="15"/>
      <c r="U469" s="15"/>
      <c r="V469" s="15"/>
      <c r="W469" s="15"/>
      <c r="X469" s="15"/>
      <c r="Y469" s="15"/>
      <c r="Z469" s="15"/>
    </row>
    <row r="470" ht="12.75" customHeight="1">
      <c r="A470" s="37" t="str">
        <f t="shared" si="2"/>
        <v>ST_413</v>
      </c>
      <c r="B470" s="117" t="s">
        <v>35</v>
      </c>
      <c r="C470" s="117" t="s">
        <v>1239</v>
      </c>
      <c r="D470" s="141" t="s">
        <v>1326</v>
      </c>
      <c r="E470" s="117" t="s">
        <v>813</v>
      </c>
      <c r="F470" s="117" t="s">
        <v>1270</v>
      </c>
      <c r="G470" s="117" t="s">
        <v>1327</v>
      </c>
      <c r="H470" s="118" t="s">
        <v>1272</v>
      </c>
      <c r="I470" s="119"/>
      <c r="J470" s="63"/>
      <c r="K470" s="63"/>
      <c r="L470" s="15"/>
      <c r="M470" s="15"/>
      <c r="N470" s="15"/>
      <c r="O470" s="15"/>
      <c r="P470" s="15"/>
      <c r="Q470" s="15"/>
      <c r="R470" s="15"/>
      <c r="S470" s="15"/>
      <c r="T470" s="15"/>
      <c r="U470" s="15"/>
      <c r="V470" s="15"/>
      <c r="W470" s="15"/>
      <c r="X470" s="15"/>
      <c r="Y470" s="15"/>
      <c r="Z470" s="15"/>
    </row>
    <row r="471" ht="12.75" customHeight="1">
      <c r="A471" s="37" t="str">
        <f t="shared" si="2"/>
        <v>ST_414</v>
      </c>
      <c r="B471" s="120" t="s">
        <v>35</v>
      </c>
      <c r="C471" s="120" t="s">
        <v>1239</v>
      </c>
      <c r="D471" s="120" t="s">
        <v>1273</v>
      </c>
      <c r="E471" s="120" t="s">
        <v>813</v>
      </c>
      <c r="F471" s="120" t="s">
        <v>1274</v>
      </c>
      <c r="G471" s="117" t="s">
        <v>1275</v>
      </c>
      <c r="H471" s="118" t="s">
        <v>1328</v>
      </c>
      <c r="I471" s="119"/>
      <c r="J471" s="63"/>
      <c r="K471" s="63"/>
      <c r="L471" s="15"/>
      <c r="M471" s="15"/>
      <c r="N471" s="15"/>
      <c r="O471" s="15"/>
      <c r="P471" s="15"/>
      <c r="Q471" s="15"/>
      <c r="R471" s="15"/>
      <c r="S471" s="15"/>
      <c r="T471" s="15"/>
      <c r="U471" s="15"/>
      <c r="V471" s="15"/>
      <c r="W471" s="15"/>
      <c r="X471" s="15"/>
      <c r="Y471" s="15"/>
      <c r="Z471" s="15"/>
    </row>
    <row r="472" ht="12.75" customHeight="1">
      <c r="A472" s="37" t="str">
        <f t="shared" si="2"/>
        <v>ST_415</v>
      </c>
      <c r="B472" s="32"/>
      <c r="C472" s="32"/>
      <c r="D472" s="32"/>
      <c r="E472" s="32"/>
      <c r="F472" s="32"/>
      <c r="G472" s="117" t="s">
        <v>1277</v>
      </c>
      <c r="H472" s="136" t="s">
        <v>148</v>
      </c>
      <c r="I472" s="119"/>
      <c r="J472" s="63"/>
      <c r="K472" s="63"/>
      <c r="L472" s="15"/>
      <c r="M472" s="15"/>
      <c r="N472" s="15"/>
      <c r="O472" s="15"/>
      <c r="P472" s="15"/>
      <c r="Q472" s="15"/>
      <c r="R472" s="15"/>
      <c r="S472" s="15"/>
      <c r="T472" s="15"/>
      <c r="U472" s="15"/>
      <c r="V472" s="15"/>
      <c r="W472" s="15"/>
      <c r="X472" s="15"/>
      <c r="Y472" s="15"/>
      <c r="Z472" s="15"/>
    </row>
    <row r="473" ht="12.75" customHeight="1">
      <c r="A473" s="37" t="str">
        <f t="shared" si="2"/>
        <v>ST_416</v>
      </c>
      <c r="B473" s="120" t="s">
        <v>508</v>
      </c>
      <c r="C473" s="120" t="s">
        <v>189</v>
      </c>
      <c r="D473" s="120" t="s">
        <v>1251</v>
      </c>
      <c r="E473" s="120" t="s">
        <v>813</v>
      </c>
      <c r="F473" s="120" t="s">
        <v>1278</v>
      </c>
      <c r="G473" s="117" t="s">
        <v>1254</v>
      </c>
      <c r="H473" s="118" t="s">
        <v>1329</v>
      </c>
      <c r="I473" s="119"/>
      <c r="J473" s="63"/>
      <c r="K473" s="63"/>
      <c r="L473" s="15"/>
      <c r="M473" s="15"/>
      <c r="N473" s="15"/>
      <c r="O473" s="15"/>
      <c r="P473" s="15"/>
      <c r="Q473" s="15"/>
      <c r="R473" s="15"/>
      <c r="S473" s="15"/>
      <c r="T473" s="15"/>
      <c r="U473" s="15"/>
      <c r="V473" s="15"/>
      <c r="W473" s="15"/>
      <c r="X473" s="15"/>
      <c r="Y473" s="15"/>
      <c r="Z473" s="15"/>
    </row>
    <row r="474" ht="12.75" customHeight="1">
      <c r="A474" s="37" t="str">
        <f t="shared" si="2"/>
        <v>ST_417</v>
      </c>
      <c r="B474" s="32"/>
      <c r="C474" s="32"/>
      <c r="D474" s="32"/>
      <c r="E474" s="32"/>
      <c r="F474" s="32"/>
      <c r="G474" s="117" t="s">
        <v>1277</v>
      </c>
      <c r="H474" s="136" t="s">
        <v>148</v>
      </c>
      <c r="I474" s="119"/>
      <c r="J474" s="63"/>
      <c r="K474" s="63"/>
      <c r="L474" s="15"/>
      <c r="M474" s="15"/>
      <c r="N474" s="15"/>
      <c r="O474" s="15"/>
      <c r="P474" s="15"/>
      <c r="Q474" s="15"/>
      <c r="R474" s="15"/>
      <c r="S474" s="15"/>
      <c r="T474" s="15"/>
      <c r="U474" s="15"/>
      <c r="V474" s="15"/>
      <c r="W474" s="15"/>
      <c r="X474" s="15"/>
      <c r="Y474" s="15"/>
      <c r="Z474" s="15"/>
    </row>
    <row r="475" ht="12.75" customHeight="1">
      <c r="A475" s="37" t="str">
        <f t="shared" si="2"/>
        <v>ST_418</v>
      </c>
      <c r="B475" s="120" t="s">
        <v>508</v>
      </c>
      <c r="C475" s="120" t="s">
        <v>189</v>
      </c>
      <c r="D475" s="120" t="s">
        <v>1280</v>
      </c>
      <c r="E475" s="120" t="s">
        <v>813</v>
      </c>
      <c r="F475" s="142" t="s">
        <v>1281</v>
      </c>
      <c r="G475" s="141" t="s">
        <v>1330</v>
      </c>
      <c r="H475" s="136" t="s">
        <v>1331</v>
      </c>
      <c r="I475" s="119"/>
      <c r="J475" s="63"/>
      <c r="K475" s="63"/>
      <c r="L475" s="15"/>
      <c r="M475" s="15"/>
      <c r="N475" s="15"/>
      <c r="O475" s="15"/>
      <c r="P475" s="15"/>
      <c r="Q475" s="15"/>
      <c r="R475" s="15"/>
      <c r="S475" s="15"/>
      <c r="T475" s="15"/>
      <c r="U475" s="15"/>
      <c r="V475" s="15"/>
      <c r="W475" s="15"/>
      <c r="X475" s="15"/>
      <c r="Y475" s="15"/>
      <c r="Z475" s="15"/>
    </row>
    <row r="476" ht="12.75" customHeight="1">
      <c r="A476" s="37" t="str">
        <f t="shared" si="2"/>
        <v>ST_419</v>
      </c>
      <c r="B476" s="32"/>
      <c r="C476" s="32"/>
      <c r="D476" s="32"/>
      <c r="E476" s="32"/>
      <c r="F476" s="32"/>
      <c r="G476" s="117" t="s">
        <v>1332</v>
      </c>
      <c r="H476" s="118" t="s">
        <v>1333</v>
      </c>
      <c r="I476" s="119"/>
      <c r="J476" s="63"/>
      <c r="K476" s="63"/>
      <c r="L476" s="15"/>
      <c r="M476" s="15"/>
      <c r="N476" s="15"/>
      <c r="O476" s="15"/>
      <c r="P476" s="15"/>
      <c r="Q476" s="15"/>
      <c r="R476" s="15"/>
      <c r="S476" s="15"/>
      <c r="T476" s="15"/>
      <c r="U476" s="15"/>
      <c r="V476" s="15"/>
      <c r="W476" s="15"/>
      <c r="X476" s="15"/>
      <c r="Y476" s="15"/>
      <c r="Z476" s="15"/>
    </row>
    <row r="477" ht="12.75" customHeight="1">
      <c r="A477" s="37" t="str">
        <f t="shared" si="2"/>
        <v>ST_420</v>
      </c>
      <c r="B477" s="63" t="s">
        <v>842</v>
      </c>
      <c r="C477" s="117" t="s">
        <v>189</v>
      </c>
      <c r="D477" s="117" t="s">
        <v>1286</v>
      </c>
      <c r="E477" s="117" t="s">
        <v>813</v>
      </c>
      <c r="F477" s="117" t="s">
        <v>1287</v>
      </c>
      <c r="G477" s="117" t="s">
        <v>1288</v>
      </c>
      <c r="H477" s="118" t="s">
        <v>1334</v>
      </c>
      <c r="I477" s="119"/>
      <c r="J477" s="63"/>
      <c r="K477" s="63"/>
      <c r="L477" s="15"/>
      <c r="M477" s="15"/>
      <c r="N477" s="15"/>
      <c r="O477" s="15"/>
      <c r="P477" s="15"/>
      <c r="Q477" s="15"/>
      <c r="R477" s="15"/>
      <c r="S477" s="15"/>
      <c r="T477" s="15"/>
      <c r="U477" s="15"/>
      <c r="V477" s="15"/>
      <c r="W477" s="15"/>
      <c r="X477" s="15"/>
      <c r="Y477" s="15"/>
      <c r="Z477" s="15"/>
    </row>
    <row r="478" ht="12.75" customHeight="1">
      <c r="A478" s="37" t="str">
        <f t="shared" si="2"/>
        <v>ST_421</v>
      </c>
      <c r="B478" s="120" t="s">
        <v>35</v>
      </c>
      <c r="C478" s="120" t="s">
        <v>1239</v>
      </c>
      <c r="D478" s="120" t="s">
        <v>1335</v>
      </c>
      <c r="E478" s="120" t="s">
        <v>813</v>
      </c>
      <c r="F478" s="142" t="s">
        <v>1291</v>
      </c>
      <c r="G478" s="117" t="s">
        <v>1292</v>
      </c>
      <c r="H478" s="118" t="s">
        <v>1336</v>
      </c>
      <c r="I478" s="119"/>
      <c r="J478" s="63"/>
      <c r="K478" s="63"/>
      <c r="L478" s="15"/>
      <c r="M478" s="15"/>
      <c r="N478" s="15"/>
      <c r="O478" s="15"/>
      <c r="P478" s="15"/>
      <c r="Q478" s="15"/>
      <c r="R478" s="15"/>
      <c r="S478" s="15"/>
      <c r="T478" s="15"/>
      <c r="U478" s="15"/>
      <c r="V478" s="15"/>
      <c r="W478" s="15"/>
      <c r="X478" s="15"/>
      <c r="Y478" s="15"/>
      <c r="Z478" s="15"/>
    </row>
    <row r="479" ht="12.75" customHeight="1">
      <c r="A479" s="37" t="str">
        <f t="shared" si="2"/>
        <v>ST_422</v>
      </c>
      <c r="B479" s="32"/>
      <c r="C479" s="32"/>
      <c r="D479" s="32"/>
      <c r="E479" s="32"/>
      <c r="F479" s="32"/>
      <c r="G479" s="117" t="s">
        <v>537</v>
      </c>
      <c r="H479" s="118" t="s">
        <v>1337</v>
      </c>
      <c r="I479" s="62"/>
      <c r="J479" s="63"/>
      <c r="K479" s="63"/>
      <c r="L479" s="15"/>
      <c r="M479" s="15"/>
      <c r="N479" s="15"/>
      <c r="O479" s="15"/>
      <c r="P479" s="15"/>
      <c r="Q479" s="15"/>
      <c r="R479" s="15"/>
      <c r="S479" s="15"/>
      <c r="T479" s="15"/>
      <c r="U479" s="15"/>
      <c r="V479" s="15"/>
      <c r="W479" s="15"/>
      <c r="X479" s="15"/>
      <c r="Y479" s="15"/>
      <c r="Z479" s="15"/>
    </row>
    <row r="480" ht="12.75" customHeight="1">
      <c r="A480" s="37" t="str">
        <f t="shared" si="2"/>
        <v>ST_423</v>
      </c>
      <c r="B480" s="117" t="s">
        <v>35</v>
      </c>
      <c r="C480" s="117" t="s">
        <v>1239</v>
      </c>
      <c r="D480" s="117" t="s">
        <v>1338</v>
      </c>
      <c r="E480" s="117" t="s">
        <v>813</v>
      </c>
      <c r="F480" s="117" t="s">
        <v>1296</v>
      </c>
      <c r="G480" s="117" t="s">
        <v>1297</v>
      </c>
      <c r="H480" s="117" t="s">
        <v>1298</v>
      </c>
      <c r="I480" s="62"/>
      <c r="J480" s="63"/>
      <c r="K480" s="63"/>
      <c r="L480" s="15"/>
      <c r="M480" s="15"/>
      <c r="N480" s="15"/>
      <c r="O480" s="15"/>
      <c r="P480" s="15"/>
      <c r="Q480" s="15"/>
      <c r="R480" s="15"/>
      <c r="S480" s="15"/>
      <c r="T480" s="15"/>
      <c r="U480" s="15"/>
      <c r="V480" s="15"/>
      <c r="W480" s="15"/>
      <c r="X480" s="15"/>
      <c r="Y480" s="15"/>
      <c r="Z480" s="15"/>
    </row>
    <row r="481" ht="12.75" customHeight="1">
      <c r="A481" s="37" t="str">
        <f t="shared" si="2"/>
        <v>ST_424</v>
      </c>
      <c r="B481" s="117" t="s">
        <v>254</v>
      </c>
      <c r="C481" s="117" t="s">
        <v>1239</v>
      </c>
      <c r="D481" s="117" t="s">
        <v>1299</v>
      </c>
      <c r="E481" s="117" t="s">
        <v>813</v>
      </c>
      <c r="F481" s="117" t="s">
        <v>1300</v>
      </c>
      <c r="G481" s="117" t="s">
        <v>1301</v>
      </c>
      <c r="H481" s="117" t="s">
        <v>1302</v>
      </c>
      <c r="I481" s="62"/>
      <c r="J481" s="63"/>
      <c r="K481" s="63"/>
      <c r="L481" s="15"/>
      <c r="M481" s="15"/>
      <c r="N481" s="15"/>
      <c r="O481" s="15"/>
      <c r="P481" s="15"/>
      <c r="Q481" s="15"/>
      <c r="R481" s="15"/>
      <c r="S481" s="15"/>
      <c r="T481" s="15"/>
      <c r="U481" s="15"/>
      <c r="V481" s="15"/>
      <c r="W481" s="15"/>
      <c r="X481" s="15"/>
      <c r="Y481" s="15"/>
      <c r="Z481" s="15"/>
    </row>
    <row r="482" ht="12.75" customHeight="1">
      <c r="A482" s="37" t="str">
        <f t="shared" si="2"/>
        <v>ST_425</v>
      </c>
      <c r="B482" s="69" t="s">
        <v>842</v>
      </c>
      <c r="C482" s="120" t="s">
        <v>189</v>
      </c>
      <c r="D482" s="120" t="s">
        <v>1303</v>
      </c>
      <c r="E482" s="120" t="s">
        <v>1252</v>
      </c>
      <c r="F482" s="120" t="s">
        <v>1304</v>
      </c>
      <c r="G482" s="117" t="s">
        <v>1305</v>
      </c>
      <c r="H482" s="141" t="s">
        <v>1339</v>
      </c>
      <c r="I482" s="62"/>
      <c r="J482" s="63"/>
      <c r="K482" s="63"/>
      <c r="L482" s="15"/>
      <c r="M482" s="15"/>
      <c r="N482" s="15"/>
      <c r="O482" s="15"/>
      <c r="P482" s="15"/>
      <c r="Q482" s="15"/>
      <c r="R482" s="15"/>
      <c r="S482" s="15"/>
      <c r="T482" s="15"/>
      <c r="U482" s="15"/>
      <c r="V482" s="15"/>
      <c r="W482" s="15"/>
      <c r="X482" s="15"/>
      <c r="Y482" s="15"/>
      <c r="Z482" s="15"/>
    </row>
    <row r="483" ht="12.75" customHeight="1">
      <c r="A483" s="37" t="str">
        <f t="shared" si="2"/>
        <v>ST_426</v>
      </c>
      <c r="B483" s="32"/>
      <c r="C483" s="32"/>
      <c r="D483" s="32"/>
      <c r="E483" s="32"/>
      <c r="F483" s="32"/>
      <c r="G483" s="117" t="s">
        <v>1307</v>
      </c>
      <c r="H483" s="117" t="s">
        <v>1340</v>
      </c>
      <c r="I483" s="62"/>
      <c r="J483" s="63"/>
      <c r="K483" s="63"/>
      <c r="L483" s="15"/>
      <c r="M483" s="15"/>
      <c r="N483" s="15"/>
      <c r="O483" s="15"/>
      <c r="P483" s="15"/>
      <c r="Q483" s="15"/>
      <c r="R483" s="15"/>
      <c r="S483" s="15"/>
      <c r="T483" s="15"/>
      <c r="U483" s="15"/>
      <c r="V483" s="15"/>
      <c r="W483" s="15"/>
      <c r="X483" s="15"/>
      <c r="Y483" s="15"/>
      <c r="Z483" s="15"/>
    </row>
    <row r="484" ht="12.75" customHeight="1">
      <c r="A484" s="37" t="str">
        <f t="shared" si="2"/>
        <v>ST_427</v>
      </c>
      <c r="B484" s="63" t="s">
        <v>842</v>
      </c>
      <c r="C484" s="117" t="s">
        <v>189</v>
      </c>
      <c r="D484" s="117" t="s">
        <v>1303</v>
      </c>
      <c r="E484" s="117" t="s">
        <v>1341</v>
      </c>
      <c r="F484" s="117" t="s">
        <v>1304</v>
      </c>
      <c r="G484" s="117" t="s">
        <v>1305</v>
      </c>
      <c r="H484" s="117" t="s">
        <v>1342</v>
      </c>
      <c r="I484" s="62"/>
      <c r="J484" s="63"/>
      <c r="K484" s="63"/>
      <c r="L484" s="15"/>
      <c r="M484" s="15"/>
      <c r="N484" s="15"/>
      <c r="O484" s="15"/>
      <c r="P484" s="15"/>
      <c r="Q484" s="15"/>
      <c r="R484" s="15"/>
      <c r="S484" s="15"/>
      <c r="T484" s="15"/>
      <c r="U484" s="15"/>
      <c r="V484" s="15"/>
      <c r="W484" s="15"/>
      <c r="X484" s="15"/>
      <c r="Y484" s="15"/>
      <c r="Z484" s="15"/>
    </row>
    <row r="485" ht="19.5" customHeight="1">
      <c r="A485" s="37" t="str">
        <f t="shared" si="2"/>
        <v/>
      </c>
      <c r="B485" s="115" t="s">
        <v>1343</v>
      </c>
      <c r="C485" s="116"/>
      <c r="D485" s="116"/>
      <c r="E485" s="116"/>
      <c r="F485" s="116"/>
      <c r="G485" s="116"/>
      <c r="H485" s="116"/>
      <c r="I485" s="90"/>
      <c r="J485" s="90"/>
      <c r="K485" s="91"/>
      <c r="L485" s="15"/>
      <c r="M485" s="15"/>
      <c r="N485" s="15"/>
      <c r="O485" s="15"/>
      <c r="P485" s="15"/>
      <c r="Q485" s="15"/>
      <c r="R485" s="15"/>
      <c r="S485" s="15"/>
      <c r="T485" s="15"/>
      <c r="U485" s="15"/>
      <c r="V485" s="15"/>
      <c r="W485" s="15"/>
      <c r="X485" s="15"/>
      <c r="Y485" s="15"/>
      <c r="Z485" s="15"/>
    </row>
    <row r="486" ht="311.25" customHeight="1">
      <c r="A486" s="37" t="str">
        <f t="shared" si="2"/>
        <v>ST_428</v>
      </c>
      <c r="B486" s="117" t="s">
        <v>35</v>
      </c>
      <c r="C486" s="117" t="s">
        <v>1239</v>
      </c>
      <c r="D486" s="117" t="s">
        <v>1344</v>
      </c>
      <c r="E486" s="117" t="s">
        <v>1345</v>
      </c>
      <c r="F486" s="117" t="s">
        <v>1311</v>
      </c>
      <c r="G486" s="141" t="s">
        <v>1346</v>
      </c>
      <c r="H486" s="136" t="s">
        <v>1347</v>
      </c>
      <c r="I486" s="119"/>
      <c r="J486" s="63"/>
      <c r="K486" s="63"/>
      <c r="L486" s="15"/>
      <c r="M486" s="15"/>
      <c r="N486" s="15"/>
      <c r="O486" s="15"/>
      <c r="P486" s="15"/>
      <c r="Q486" s="15"/>
      <c r="R486" s="15"/>
      <c r="S486" s="15"/>
      <c r="T486" s="15"/>
      <c r="U486" s="15"/>
      <c r="V486" s="15"/>
      <c r="W486" s="15"/>
      <c r="X486" s="15"/>
      <c r="Y486" s="15"/>
      <c r="Z486" s="15"/>
    </row>
    <row r="487" ht="12.75" customHeight="1">
      <c r="A487" s="37" t="str">
        <f t="shared" si="2"/>
        <v>ST_429</v>
      </c>
      <c r="B487" s="117" t="s">
        <v>35</v>
      </c>
      <c r="C487" s="117" t="s">
        <v>1239</v>
      </c>
      <c r="D487" s="117" t="s">
        <v>1348</v>
      </c>
      <c r="E487" s="117" t="s">
        <v>1345</v>
      </c>
      <c r="F487" s="117" t="s">
        <v>1270</v>
      </c>
      <c r="G487" s="117" t="s">
        <v>1349</v>
      </c>
      <c r="H487" s="118" t="s">
        <v>1272</v>
      </c>
      <c r="I487" s="119"/>
      <c r="J487" s="63"/>
      <c r="K487" s="63"/>
      <c r="L487" s="15"/>
      <c r="M487" s="15"/>
      <c r="N487" s="15"/>
      <c r="O487" s="15"/>
      <c r="P487" s="15"/>
      <c r="Q487" s="15"/>
      <c r="R487" s="15"/>
      <c r="S487" s="15"/>
      <c r="T487" s="15"/>
      <c r="U487" s="15"/>
      <c r="V487" s="15"/>
      <c r="W487" s="15"/>
      <c r="X487" s="15"/>
      <c r="Y487" s="15"/>
      <c r="Z487" s="15"/>
    </row>
    <row r="488" ht="12.75" customHeight="1">
      <c r="A488" s="37" t="str">
        <f t="shared" si="2"/>
        <v>ST_430</v>
      </c>
      <c r="B488" s="120" t="s">
        <v>35</v>
      </c>
      <c r="C488" s="120" t="s">
        <v>1239</v>
      </c>
      <c r="D488" s="120" t="s">
        <v>1273</v>
      </c>
      <c r="E488" s="120" t="s">
        <v>1345</v>
      </c>
      <c r="F488" s="120" t="s">
        <v>1274</v>
      </c>
      <c r="G488" s="117" t="s">
        <v>1275</v>
      </c>
      <c r="H488" s="118" t="s">
        <v>1350</v>
      </c>
      <c r="I488" s="119"/>
      <c r="J488" s="63"/>
      <c r="K488" s="63"/>
      <c r="L488" s="15"/>
      <c r="M488" s="15"/>
      <c r="N488" s="15"/>
      <c r="O488" s="15"/>
      <c r="P488" s="15"/>
      <c r="Q488" s="15"/>
      <c r="R488" s="15"/>
      <c r="S488" s="15"/>
      <c r="T488" s="15"/>
      <c r="U488" s="15"/>
      <c r="V488" s="15"/>
      <c r="W488" s="15"/>
      <c r="X488" s="15"/>
      <c r="Y488" s="15"/>
      <c r="Z488" s="15"/>
    </row>
    <row r="489" ht="12.75" customHeight="1">
      <c r="A489" s="37" t="str">
        <f t="shared" si="2"/>
        <v>ST_431</v>
      </c>
      <c r="B489" s="32"/>
      <c r="C489" s="32"/>
      <c r="D489" s="32"/>
      <c r="E489" s="32"/>
      <c r="F489" s="32"/>
      <c r="G489" s="117" t="s">
        <v>1277</v>
      </c>
      <c r="H489" s="136" t="s">
        <v>148</v>
      </c>
      <c r="I489" s="119"/>
      <c r="J489" s="63"/>
      <c r="K489" s="63"/>
      <c r="L489" s="15"/>
      <c r="M489" s="15"/>
      <c r="N489" s="15"/>
      <c r="O489" s="15"/>
      <c r="P489" s="15"/>
      <c r="Q489" s="15"/>
      <c r="R489" s="15"/>
      <c r="S489" s="15"/>
      <c r="T489" s="15"/>
      <c r="U489" s="15"/>
      <c r="V489" s="15"/>
      <c r="W489" s="15"/>
      <c r="X489" s="15"/>
      <c r="Y489" s="15"/>
      <c r="Z489" s="15"/>
    </row>
    <row r="490" ht="12.75" customHeight="1">
      <c r="A490" s="37" t="str">
        <f t="shared" si="2"/>
        <v>ST_432</v>
      </c>
      <c r="B490" s="144" t="s">
        <v>508</v>
      </c>
      <c r="C490" s="144" t="s">
        <v>189</v>
      </c>
      <c r="D490" s="144" t="s">
        <v>1251</v>
      </c>
      <c r="E490" s="144" t="s">
        <v>1351</v>
      </c>
      <c r="F490" s="144" t="s">
        <v>1278</v>
      </c>
      <c r="G490" s="117" t="s">
        <v>1254</v>
      </c>
      <c r="H490" s="118" t="s">
        <v>1352</v>
      </c>
      <c r="I490" s="119"/>
      <c r="J490" s="63"/>
      <c r="K490" s="63"/>
      <c r="L490" s="15"/>
      <c r="M490" s="15"/>
      <c r="N490" s="15"/>
      <c r="O490" s="15"/>
      <c r="P490" s="15"/>
      <c r="Q490" s="15"/>
      <c r="R490" s="15"/>
      <c r="S490" s="15"/>
      <c r="T490" s="15"/>
      <c r="U490" s="15"/>
      <c r="V490" s="15"/>
      <c r="W490" s="15"/>
      <c r="X490" s="15"/>
      <c r="Y490" s="15"/>
      <c r="Z490" s="15"/>
    </row>
    <row r="491" ht="12.75" customHeight="1">
      <c r="A491" s="37" t="str">
        <f t="shared" si="2"/>
        <v>ST_433</v>
      </c>
      <c r="B491" s="73"/>
      <c r="C491" s="73"/>
      <c r="D491" s="73"/>
      <c r="E491" s="32"/>
      <c r="F491" s="73"/>
      <c r="G491" s="117" t="s">
        <v>1277</v>
      </c>
      <c r="H491" s="136" t="s">
        <v>148</v>
      </c>
      <c r="I491" s="119"/>
      <c r="J491" s="63"/>
      <c r="K491" s="63"/>
      <c r="L491" s="15"/>
      <c r="M491" s="15"/>
      <c r="N491" s="15"/>
      <c r="O491" s="15"/>
      <c r="P491" s="15"/>
      <c r="Q491" s="15"/>
      <c r="R491" s="15"/>
      <c r="S491" s="15"/>
      <c r="T491" s="15"/>
      <c r="U491" s="15"/>
      <c r="V491" s="15"/>
      <c r="W491" s="15"/>
      <c r="X491" s="15"/>
      <c r="Y491" s="15"/>
      <c r="Z491" s="15"/>
    </row>
    <row r="492" ht="12.75" customHeight="1">
      <c r="A492" s="37" t="str">
        <f t="shared" si="2"/>
        <v>ST_434</v>
      </c>
      <c r="B492" s="73"/>
      <c r="C492" s="73"/>
      <c r="D492" s="73"/>
      <c r="E492" s="144" t="s">
        <v>1353</v>
      </c>
      <c r="F492" s="73"/>
      <c r="G492" s="117" t="s">
        <v>1254</v>
      </c>
      <c r="H492" s="118" t="s">
        <v>1354</v>
      </c>
      <c r="I492" s="119"/>
      <c r="J492" s="63"/>
      <c r="K492" s="63"/>
      <c r="L492" s="15"/>
      <c r="M492" s="15"/>
      <c r="N492" s="15"/>
      <c r="O492" s="15"/>
      <c r="P492" s="15"/>
      <c r="Q492" s="15"/>
      <c r="R492" s="15"/>
      <c r="S492" s="15"/>
      <c r="T492" s="15"/>
      <c r="U492" s="15"/>
      <c r="V492" s="15"/>
      <c r="W492" s="15"/>
      <c r="X492" s="15"/>
      <c r="Y492" s="15"/>
      <c r="Z492" s="15"/>
    </row>
    <row r="493" ht="12.75" customHeight="1">
      <c r="A493" s="37" t="str">
        <f t="shared" si="2"/>
        <v>ST_435</v>
      </c>
      <c r="B493" s="32"/>
      <c r="C493" s="32"/>
      <c r="D493" s="32"/>
      <c r="E493" s="32"/>
      <c r="F493" s="32"/>
      <c r="G493" s="117" t="s">
        <v>1277</v>
      </c>
      <c r="H493" s="136" t="s">
        <v>148</v>
      </c>
      <c r="I493" s="119"/>
      <c r="J493" s="63"/>
      <c r="K493" s="63"/>
      <c r="L493" s="15"/>
      <c r="M493" s="15"/>
      <c r="N493" s="15"/>
      <c r="O493" s="15"/>
      <c r="P493" s="15"/>
      <c r="Q493" s="15"/>
      <c r="R493" s="15"/>
      <c r="S493" s="15"/>
      <c r="T493" s="15"/>
      <c r="U493" s="15"/>
      <c r="V493" s="15"/>
      <c r="W493" s="15"/>
      <c r="X493" s="15"/>
      <c r="Y493" s="15"/>
      <c r="Z493" s="15"/>
    </row>
    <row r="494" ht="12.75" customHeight="1">
      <c r="A494" s="37" t="str">
        <f t="shared" si="2"/>
        <v>ST_436</v>
      </c>
      <c r="B494" s="120" t="s">
        <v>508</v>
      </c>
      <c r="C494" s="120" t="s">
        <v>189</v>
      </c>
      <c r="D494" s="120" t="s">
        <v>1280</v>
      </c>
      <c r="E494" s="120" t="s">
        <v>1351</v>
      </c>
      <c r="F494" s="142" t="s">
        <v>1281</v>
      </c>
      <c r="G494" s="117" t="s">
        <v>1355</v>
      </c>
      <c r="H494" s="118" t="s">
        <v>1356</v>
      </c>
      <c r="I494" s="119"/>
      <c r="J494" s="63"/>
      <c r="K494" s="63"/>
      <c r="L494" s="15"/>
      <c r="M494" s="15"/>
      <c r="N494" s="15"/>
      <c r="O494" s="15"/>
      <c r="P494" s="15"/>
      <c r="Q494" s="15"/>
      <c r="R494" s="15"/>
      <c r="S494" s="15"/>
      <c r="T494" s="15"/>
      <c r="U494" s="15"/>
      <c r="V494" s="15"/>
      <c r="W494" s="15"/>
      <c r="X494" s="15"/>
      <c r="Y494" s="15"/>
      <c r="Z494" s="15"/>
    </row>
    <row r="495" ht="12.75" customHeight="1">
      <c r="A495" s="37" t="str">
        <f t="shared" si="2"/>
        <v>ST_437</v>
      </c>
      <c r="B495" s="32"/>
      <c r="C495" s="32"/>
      <c r="D495" s="32"/>
      <c r="E495" s="32"/>
      <c r="F495" s="32"/>
      <c r="G495" s="117" t="s">
        <v>1357</v>
      </c>
      <c r="H495" s="118" t="s">
        <v>1333</v>
      </c>
      <c r="I495" s="119"/>
      <c r="J495" s="63"/>
      <c r="K495" s="63"/>
      <c r="L495" s="15"/>
      <c r="M495" s="15"/>
      <c r="N495" s="15"/>
      <c r="O495" s="15"/>
      <c r="P495" s="15"/>
      <c r="Q495" s="15"/>
      <c r="R495" s="15"/>
      <c r="S495" s="15"/>
      <c r="T495" s="15"/>
      <c r="U495" s="15"/>
      <c r="V495" s="15"/>
      <c r="W495" s="15"/>
      <c r="X495" s="15"/>
      <c r="Y495" s="15"/>
      <c r="Z495" s="15"/>
    </row>
    <row r="496" ht="12.75" customHeight="1">
      <c r="A496" s="37" t="str">
        <f t="shared" si="2"/>
        <v>ST_438</v>
      </c>
      <c r="B496" s="63" t="s">
        <v>842</v>
      </c>
      <c r="C496" s="117" t="s">
        <v>189</v>
      </c>
      <c r="D496" s="117" t="s">
        <v>1286</v>
      </c>
      <c r="E496" s="117" t="s">
        <v>813</v>
      </c>
      <c r="F496" s="117" t="s">
        <v>1287</v>
      </c>
      <c r="G496" s="117" t="s">
        <v>1288</v>
      </c>
      <c r="H496" s="118" t="s">
        <v>1358</v>
      </c>
      <c r="I496" s="119"/>
      <c r="J496" s="63"/>
      <c r="K496" s="63"/>
      <c r="L496" s="15"/>
      <c r="M496" s="15"/>
      <c r="N496" s="15"/>
      <c r="O496" s="15"/>
      <c r="P496" s="15"/>
      <c r="Q496" s="15"/>
      <c r="R496" s="15"/>
      <c r="S496" s="15"/>
      <c r="T496" s="15"/>
      <c r="U496" s="15"/>
      <c r="V496" s="15"/>
      <c r="W496" s="15"/>
      <c r="X496" s="15"/>
      <c r="Y496" s="15"/>
      <c r="Z496" s="15"/>
    </row>
    <row r="497" ht="12.75" customHeight="1">
      <c r="A497" s="37" t="str">
        <f t="shared" si="2"/>
        <v>ST_439</v>
      </c>
      <c r="B497" s="120" t="s">
        <v>35</v>
      </c>
      <c r="C497" s="120" t="s">
        <v>1239</v>
      </c>
      <c r="D497" s="120" t="s">
        <v>1290</v>
      </c>
      <c r="E497" s="120" t="s">
        <v>1345</v>
      </c>
      <c r="F497" s="142" t="s">
        <v>1291</v>
      </c>
      <c r="G497" s="117" t="s">
        <v>1292</v>
      </c>
      <c r="H497" s="118" t="s">
        <v>1359</v>
      </c>
      <c r="I497" s="119"/>
      <c r="J497" s="63"/>
      <c r="K497" s="63"/>
      <c r="L497" s="15"/>
      <c r="M497" s="15"/>
      <c r="N497" s="15"/>
      <c r="O497" s="15"/>
      <c r="P497" s="15"/>
      <c r="Q497" s="15"/>
      <c r="R497" s="15"/>
      <c r="S497" s="15"/>
      <c r="T497" s="15"/>
      <c r="U497" s="15"/>
      <c r="V497" s="15"/>
      <c r="W497" s="15"/>
      <c r="X497" s="15"/>
      <c r="Y497" s="15"/>
      <c r="Z497" s="15"/>
    </row>
    <row r="498" ht="12.75" customHeight="1">
      <c r="A498" s="37" t="str">
        <f t="shared" si="2"/>
        <v>ST_440</v>
      </c>
      <c r="B498" s="32"/>
      <c r="C498" s="32"/>
      <c r="D498" s="32"/>
      <c r="E498" s="32"/>
      <c r="F498" s="32"/>
      <c r="G498" s="117" t="s">
        <v>537</v>
      </c>
      <c r="H498" s="136" t="s">
        <v>1360</v>
      </c>
      <c r="I498" s="62"/>
      <c r="J498" s="63"/>
      <c r="K498" s="63"/>
      <c r="L498" s="15"/>
      <c r="M498" s="15"/>
      <c r="N498" s="15"/>
      <c r="O498" s="15"/>
      <c r="P498" s="15"/>
      <c r="Q498" s="15"/>
      <c r="R498" s="15"/>
      <c r="S498" s="15"/>
      <c r="T498" s="15"/>
      <c r="U498" s="15"/>
      <c r="V498" s="15"/>
      <c r="W498" s="15"/>
      <c r="X498" s="15"/>
      <c r="Y498" s="15"/>
      <c r="Z498" s="15"/>
    </row>
    <row r="499" ht="12.75" customHeight="1">
      <c r="A499" s="37" t="str">
        <f t="shared" si="2"/>
        <v>ST_441</v>
      </c>
      <c r="B499" s="117" t="s">
        <v>35</v>
      </c>
      <c r="C499" s="117" t="s">
        <v>1239</v>
      </c>
      <c r="D499" s="117" t="s">
        <v>1338</v>
      </c>
      <c r="E499" s="117" t="s">
        <v>1345</v>
      </c>
      <c r="F499" s="117" t="s">
        <v>1296</v>
      </c>
      <c r="G499" s="117" t="s">
        <v>1297</v>
      </c>
      <c r="H499" s="117" t="s">
        <v>1298</v>
      </c>
      <c r="I499" s="62"/>
      <c r="J499" s="63"/>
      <c r="K499" s="63"/>
      <c r="L499" s="15"/>
      <c r="M499" s="15"/>
      <c r="N499" s="15"/>
      <c r="O499" s="15"/>
      <c r="P499" s="15"/>
      <c r="Q499" s="15"/>
      <c r="R499" s="15"/>
      <c r="S499" s="15"/>
      <c r="T499" s="15"/>
      <c r="U499" s="15"/>
      <c r="V499" s="15"/>
      <c r="W499" s="15"/>
      <c r="X499" s="15"/>
      <c r="Y499" s="15"/>
      <c r="Z499" s="15"/>
    </row>
    <row r="500" ht="12.75" customHeight="1">
      <c r="A500" s="37" t="str">
        <f t="shared" si="2"/>
        <v>ST_442</v>
      </c>
      <c r="B500" s="117" t="s">
        <v>254</v>
      </c>
      <c r="C500" s="117" t="s">
        <v>1239</v>
      </c>
      <c r="D500" s="117" t="s">
        <v>1299</v>
      </c>
      <c r="E500" s="117" t="s">
        <v>1345</v>
      </c>
      <c r="F500" s="117" t="s">
        <v>1300</v>
      </c>
      <c r="G500" s="117" t="s">
        <v>1301</v>
      </c>
      <c r="H500" s="117" t="s">
        <v>1302</v>
      </c>
      <c r="I500" s="62"/>
      <c r="J500" s="63"/>
      <c r="K500" s="63"/>
      <c r="L500" s="15"/>
      <c r="M500" s="15"/>
      <c r="N500" s="15"/>
      <c r="O500" s="15"/>
      <c r="P500" s="15"/>
      <c r="Q500" s="15"/>
      <c r="R500" s="15"/>
      <c r="S500" s="15"/>
      <c r="T500" s="15"/>
      <c r="U500" s="15"/>
      <c r="V500" s="15"/>
      <c r="W500" s="15"/>
      <c r="X500" s="15"/>
      <c r="Y500" s="15"/>
      <c r="Z500" s="15"/>
    </row>
    <row r="501" ht="12.75" customHeight="1">
      <c r="A501" s="37" t="str">
        <f t="shared" si="2"/>
        <v>ST_443</v>
      </c>
      <c r="B501" s="69" t="s">
        <v>842</v>
      </c>
      <c r="C501" s="120" t="s">
        <v>189</v>
      </c>
      <c r="D501" s="120" t="s">
        <v>1303</v>
      </c>
      <c r="E501" s="120" t="s">
        <v>1361</v>
      </c>
      <c r="F501" s="120" t="s">
        <v>1304</v>
      </c>
      <c r="G501" s="117" t="s">
        <v>1305</v>
      </c>
      <c r="H501" s="141" t="s">
        <v>1362</v>
      </c>
      <c r="I501" s="62"/>
      <c r="J501" s="63"/>
      <c r="K501" s="63"/>
      <c r="L501" s="15"/>
      <c r="M501" s="15"/>
      <c r="N501" s="15"/>
      <c r="O501" s="15"/>
      <c r="P501" s="15"/>
      <c r="Q501" s="15"/>
      <c r="R501" s="15"/>
      <c r="S501" s="15"/>
      <c r="T501" s="15"/>
      <c r="U501" s="15"/>
      <c r="V501" s="15"/>
      <c r="W501" s="15"/>
      <c r="X501" s="15"/>
      <c r="Y501" s="15"/>
      <c r="Z501" s="15"/>
    </row>
    <row r="502" ht="12.75" customHeight="1">
      <c r="A502" s="37" t="str">
        <f t="shared" si="2"/>
        <v>ST_444</v>
      </c>
      <c r="B502" s="32"/>
      <c r="C502" s="32"/>
      <c r="D502" s="32"/>
      <c r="E502" s="32"/>
      <c r="F502" s="32"/>
      <c r="G502" s="117" t="s">
        <v>1307</v>
      </c>
      <c r="H502" s="141" t="s">
        <v>1363</v>
      </c>
      <c r="I502" s="62"/>
      <c r="J502" s="63"/>
      <c r="K502" s="63"/>
      <c r="L502" s="15"/>
      <c r="M502" s="15"/>
      <c r="N502" s="15"/>
      <c r="O502" s="15"/>
      <c r="P502" s="15"/>
      <c r="Q502" s="15"/>
      <c r="R502" s="15"/>
      <c r="S502" s="15"/>
      <c r="T502" s="15"/>
      <c r="U502" s="15"/>
      <c r="V502" s="15"/>
      <c r="W502" s="15"/>
      <c r="X502" s="15"/>
      <c r="Y502" s="15"/>
      <c r="Z502" s="15"/>
    </row>
    <row r="503" ht="12.75" customHeight="1">
      <c r="A503" s="37" t="str">
        <f t="shared" si="2"/>
        <v>ST_445</v>
      </c>
      <c r="B503" s="63" t="s">
        <v>842</v>
      </c>
      <c r="C503" s="117" t="s">
        <v>189</v>
      </c>
      <c r="D503" s="117" t="s">
        <v>1303</v>
      </c>
      <c r="E503" s="117" t="s">
        <v>1364</v>
      </c>
      <c r="F503" s="117" t="s">
        <v>1304</v>
      </c>
      <c r="G503" s="117" t="s">
        <v>1305</v>
      </c>
      <c r="H503" s="117" t="s">
        <v>1342</v>
      </c>
      <c r="I503" s="62"/>
      <c r="J503" s="63"/>
      <c r="K503" s="63"/>
      <c r="L503" s="15"/>
      <c r="M503" s="15"/>
      <c r="N503" s="15"/>
      <c r="O503" s="15"/>
      <c r="P503" s="15"/>
      <c r="Q503" s="15"/>
      <c r="R503" s="15"/>
      <c r="S503" s="15"/>
      <c r="T503" s="15"/>
      <c r="U503" s="15"/>
      <c r="V503" s="15"/>
      <c r="W503" s="15"/>
      <c r="X503" s="15"/>
      <c r="Y503" s="15"/>
      <c r="Z503" s="15"/>
    </row>
    <row r="504" ht="19.5" customHeight="1">
      <c r="A504" s="37" t="str">
        <f t="shared" si="2"/>
        <v/>
      </c>
      <c r="B504" s="115" t="s">
        <v>1365</v>
      </c>
      <c r="C504" s="116"/>
      <c r="D504" s="116"/>
      <c r="E504" s="116"/>
      <c r="F504" s="116"/>
      <c r="G504" s="116"/>
      <c r="H504" s="116"/>
      <c r="I504" s="90"/>
      <c r="J504" s="90"/>
      <c r="K504" s="91"/>
      <c r="L504" s="15"/>
      <c r="M504" s="15"/>
      <c r="N504" s="15"/>
      <c r="O504" s="15"/>
      <c r="P504" s="15"/>
      <c r="Q504" s="15"/>
      <c r="R504" s="15"/>
      <c r="S504" s="15"/>
      <c r="T504" s="15"/>
      <c r="U504" s="15"/>
      <c r="V504" s="15"/>
      <c r="W504" s="15"/>
      <c r="X504" s="15"/>
      <c r="Y504" s="15"/>
      <c r="Z504" s="15"/>
    </row>
    <row r="505" ht="363.0" customHeight="1">
      <c r="A505" s="37" t="str">
        <f t="shared" si="2"/>
        <v>ST_446</v>
      </c>
      <c r="B505" s="117" t="s">
        <v>35</v>
      </c>
      <c r="C505" s="117" t="s">
        <v>1239</v>
      </c>
      <c r="D505" s="141" t="s">
        <v>1366</v>
      </c>
      <c r="E505" s="117" t="s">
        <v>1367</v>
      </c>
      <c r="F505" s="117" t="s">
        <v>1368</v>
      </c>
      <c r="G505" s="141" t="s">
        <v>1369</v>
      </c>
      <c r="H505" s="136" t="s">
        <v>1370</v>
      </c>
      <c r="I505" s="119"/>
      <c r="J505" s="63"/>
      <c r="K505" s="63"/>
      <c r="L505" s="15"/>
      <c r="M505" s="15"/>
      <c r="N505" s="15"/>
      <c r="O505" s="15"/>
      <c r="P505" s="15"/>
      <c r="Q505" s="15"/>
      <c r="R505" s="15"/>
      <c r="S505" s="15"/>
      <c r="T505" s="15"/>
      <c r="U505" s="15"/>
      <c r="V505" s="15"/>
      <c r="W505" s="15"/>
      <c r="X505" s="15"/>
      <c r="Y505" s="15"/>
      <c r="Z505" s="15"/>
    </row>
    <row r="506" ht="12.75" customHeight="1">
      <c r="A506" s="37" t="str">
        <f t="shared" si="2"/>
        <v>ST_447</v>
      </c>
      <c r="B506" s="117" t="s">
        <v>35</v>
      </c>
      <c r="C506" s="117" t="s">
        <v>1239</v>
      </c>
      <c r="D506" s="117" t="s">
        <v>1371</v>
      </c>
      <c r="E506" s="117" t="s">
        <v>1367</v>
      </c>
      <c r="F506" s="141" t="s">
        <v>1372</v>
      </c>
      <c r="G506" s="117" t="s">
        <v>1373</v>
      </c>
      <c r="H506" s="118" t="s">
        <v>1272</v>
      </c>
      <c r="I506" s="119"/>
      <c r="J506" s="63"/>
      <c r="K506" s="63"/>
      <c r="L506" s="15"/>
      <c r="M506" s="15"/>
      <c r="N506" s="15"/>
      <c r="O506" s="15"/>
      <c r="P506" s="15"/>
      <c r="Q506" s="15"/>
      <c r="R506" s="15"/>
      <c r="S506" s="15"/>
      <c r="T506" s="15"/>
      <c r="U506" s="15"/>
      <c r="V506" s="15"/>
      <c r="W506" s="15"/>
      <c r="X506" s="15"/>
      <c r="Y506" s="15"/>
      <c r="Z506" s="15"/>
    </row>
    <row r="507" ht="12.75" customHeight="1">
      <c r="A507" s="37" t="str">
        <f t="shared" si="2"/>
        <v>ST_448</v>
      </c>
      <c r="B507" s="120" t="s">
        <v>35</v>
      </c>
      <c r="C507" s="120" t="s">
        <v>1239</v>
      </c>
      <c r="D507" s="120" t="s">
        <v>1273</v>
      </c>
      <c r="E507" s="120" t="s">
        <v>1367</v>
      </c>
      <c r="F507" s="120" t="s">
        <v>1274</v>
      </c>
      <c r="G507" s="117" t="s">
        <v>1275</v>
      </c>
      <c r="H507" s="136" t="s">
        <v>1374</v>
      </c>
      <c r="I507" s="119"/>
      <c r="J507" s="63"/>
      <c r="K507" s="63"/>
      <c r="L507" s="15"/>
      <c r="M507" s="15"/>
      <c r="N507" s="15"/>
      <c r="O507" s="15"/>
      <c r="P507" s="15"/>
      <c r="Q507" s="15"/>
      <c r="R507" s="15"/>
      <c r="S507" s="15"/>
      <c r="T507" s="15"/>
      <c r="U507" s="15"/>
      <c r="V507" s="15"/>
      <c r="W507" s="15"/>
      <c r="X507" s="15"/>
      <c r="Y507" s="15"/>
      <c r="Z507" s="15"/>
    </row>
    <row r="508" ht="12.75" customHeight="1">
      <c r="A508" s="37" t="str">
        <f t="shared" si="2"/>
        <v>ST_449</v>
      </c>
      <c r="B508" s="32"/>
      <c r="C508" s="32"/>
      <c r="D508" s="32"/>
      <c r="E508" s="32"/>
      <c r="F508" s="32"/>
      <c r="G508" s="117" t="s">
        <v>1277</v>
      </c>
      <c r="H508" s="136" t="s">
        <v>148</v>
      </c>
      <c r="I508" s="119"/>
      <c r="J508" s="63"/>
      <c r="K508" s="63"/>
      <c r="L508" s="15"/>
      <c r="M508" s="15"/>
      <c r="N508" s="15"/>
      <c r="O508" s="15"/>
      <c r="P508" s="15"/>
      <c r="Q508" s="15"/>
      <c r="R508" s="15"/>
      <c r="S508" s="15"/>
      <c r="T508" s="15"/>
      <c r="U508" s="15"/>
      <c r="V508" s="15"/>
      <c r="W508" s="15"/>
      <c r="X508" s="15"/>
      <c r="Y508" s="15"/>
      <c r="Z508" s="15"/>
    </row>
    <row r="509" ht="12.75" customHeight="1">
      <c r="A509" s="37" t="str">
        <f t="shared" si="2"/>
        <v>ST_450</v>
      </c>
      <c r="B509" s="144" t="s">
        <v>508</v>
      </c>
      <c r="C509" s="144" t="s">
        <v>189</v>
      </c>
      <c r="D509" s="144" t="s">
        <v>1251</v>
      </c>
      <c r="E509" s="144" t="s">
        <v>1375</v>
      </c>
      <c r="F509" s="144" t="s">
        <v>1278</v>
      </c>
      <c r="G509" s="117" t="s">
        <v>1254</v>
      </c>
      <c r="H509" s="118" t="s">
        <v>1376</v>
      </c>
      <c r="I509" s="119"/>
      <c r="J509" s="63"/>
      <c r="K509" s="63"/>
      <c r="L509" s="15"/>
      <c r="M509" s="15"/>
      <c r="N509" s="15"/>
      <c r="O509" s="15"/>
      <c r="P509" s="15"/>
      <c r="Q509" s="15"/>
      <c r="R509" s="15"/>
      <c r="S509" s="15"/>
      <c r="T509" s="15"/>
      <c r="U509" s="15"/>
      <c r="V509" s="15"/>
      <c r="W509" s="15"/>
      <c r="X509" s="15"/>
      <c r="Y509" s="15"/>
      <c r="Z509" s="15"/>
    </row>
    <row r="510" ht="12.75" customHeight="1">
      <c r="A510" s="37" t="str">
        <f t="shared" si="2"/>
        <v>ST_451</v>
      </c>
      <c r="B510" s="73"/>
      <c r="C510" s="73"/>
      <c r="D510" s="73"/>
      <c r="E510" s="32"/>
      <c r="F510" s="73"/>
      <c r="G510" s="117" t="s">
        <v>1277</v>
      </c>
      <c r="H510" s="136" t="s">
        <v>148</v>
      </c>
      <c r="I510" s="119"/>
      <c r="J510" s="63"/>
      <c r="K510" s="63"/>
      <c r="L510" s="15"/>
      <c r="M510" s="15"/>
      <c r="N510" s="15"/>
      <c r="O510" s="15"/>
      <c r="P510" s="15"/>
      <c r="Q510" s="15"/>
      <c r="R510" s="15"/>
      <c r="S510" s="15"/>
      <c r="T510" s="15"/>
      <c r="U510" s="15"/>
      <c r="V510" s="15"/>
      <c r="W510" s="15"/>
      <c r="X510" s="15"/>
      <c r="Y510" s="15"/>
      <c r="Z510" s="15"/>
    </row>
    <row r="511" ht="12.75" customHeight="1">
      <c r="A511" s="37" t="str">
        <f t="shared" si="2"/>
        <v>ST_452</v>
      </c>
      <c r="B511" s="73"/>
      <c r="C511" s="73"/>
      <c r="D511" s="73"/>
      <c r="E511" s="144" t="s">
        <v>1377</v>
      </c>
      <c r="F511" s="73"/>
      <c r="G511" s="117" t="s">
        <v>1254</v>
      </c>
      <c r="H511" s="118" t="s">
        <v>1378</v>
      </c>
      <c r="I511" s="119"/>
      <c r="J511" s="63"/>
      <c r="K511" s="63"/>
      <c r="L511" s="15"/>
      <c r="M511" s="15"/>
      <c r="N511" s="15"/>
      <c r="O511" s="15"/>
      <c r="P511" s="15"/>
      <c r="Q511" s="15"/>
      <c r="R511" s="15"/>
      <c r="S511" s="15"/>
      <c r="T511" s="15"/>
      <c r="U511" s="15"/>
      <c r="V511" s="15"/>
      <c r="W511" s="15"/>
      <c r="X511" s="15"/>
      <c r="Y511" s="15"/>
      <c r="Z511" s="15"/>
    </row>
    <row r="512" ht="12.75" customHeight="1">
      <c r="A512" s="37" t="str">
        <f t="shared" si="2"/>
        <v>ST_453</v>
      </c>
      <c r="B512" s="32"/>
      <c r="C512" s="32"/>
      <c r="D512" s="32"/>
      <c r="E512" s="32"/>
      <c r="F512" s="32"/>
      <c r="G512" s="117" t="s">
        <v>1277</v>
      </c>
      <c r="H512" s="136" t="s">
        <v>148</v>
      </c>
      <c r="I512" s="119"/>
      <c r="J512" s="63"/>
      <c r="K512" s="63"/>
      <c r="L512" s="15"/>
      <c r="M512" s="15"/>
      <c r="N512" s="15"/>
      <c r="O512" s="15"/>
      <c r="P512" s="15"/>
      <c r="Q512" s="15"/>
      <c r="R512" s="15"/>
      <c r="S512" s="15"/>
      <c r="T512" s="15"/>
      <c r="U512" s="15"/>
      <c r="V512" s="15"/>
      <c r="W512" s="15"/>
      <c r="X512" s="15"/>
      <c r="Y512" s="15"/>
      <c r="Z512" s="15"/>
    </row>
    <row r="513" ht="12.75" customHeight="1">
      <c r="A513" s="37" t="str">
        <f t="shared" si="2"/>
        <v>ST_454</v>
      </c>
      <c r="B513" s="120" t="s">
        <v>508</v>
      </c>
      <c r="C513" s="120" t="s">
        <v>189</v>
      </c>
      <c r="D513" s="120" t="s">
        <v>1280</v>
      </c>
      <c r="E513" s="120" t="s">
        <v>1379</v>
      </c>
      <c r="F513" s="142" t="s">
        <v>1281</v>
      </c>
      <c r="G513" s="117" t="s">
        <v>1380</v>
      </c>
      <c r="H513" s="118" t="s">
        <v>1381</v>
      </c>
      <c r="I513" s="119"/>
      <c r="J513" s="63"/>
      <c r="K513" s="63"/>
      <c r="L513" s="15"/>
      <c r="M513" s="15"/>
      <c r="N513" s="15"/>
      <c r="O513" s="15"/>
      <c r="P513" s="15"/>
      <c r="Q513" s="15"/>
      <c r="R513" s="15"/>
      <c r="S513" s="15"/>
      <c r="T513" s="15"/>
      <c r="U513" s="15"/>
      <c r="V513" s="15"/>
      <c r="W513" s="15"/>
      <c r="X513" s="15"/>
      <c r="Y513" s="15"/>
      <c r="Z513" s="15"/>
    </row>
    <row r="514" ht="12.75" customHeight="1">
      <c r="A514" s="37" t="str">
        <f t="shared" si="2"/>
        <v>ST_455</v>
      </c>
      <c r="B514" s="32"/>
      <c r="C514" s="32"/>
      <c r="D514" s="32"/>
      <c r="E514" s="32"/>
      <c r="F514" s="32"/>
      <c r="G514" s="117" t="s">
        <v>1382</v>
      </c>
      <c r="H514" s="118" t="s">
        <v>1333</v>
      </c>
      <c r="I514" s="119"/>
      <c r="J514" s="63"/>
      <c r="K514" s="63"/>
      <c r="L514" s="15"/>
      <c r="M514" s="15"/>
      <c r="N514" s="15"/>
      <c r="O514" s="15"/>
      <c r="P514" s="15"/>
      <c r="Q514" s="15"/>
      <c r="R514" s="15"/>
      <c r="S514" s="15"/>
      <c r="T514" s="15"/>
      <c r="U514" s="15"/>
      <c r="V514" s="15"/>
      <c r="W514" s="15"/>
      <c r="X514" s="15"/>
      <c r="Y514" s="15"/>
      <c r="Z514" s="15"/>
    </row>
    <row r="515" ht="12.75" customHeight="1">
      <c r="A515" s="37" t="str">
        <f t="shared" si="2"/>
        <v>ST_456</v>
      </c>
      <c r="B515" s="120" t="s">
        <v>508</v>
      </c>
      <c r="C515" s="120" t="s">
        <v>189</v>
      </c>
      <c r="D515" s="120" t="s">
        <v>1280</v>
      </c>
      <c r="E515" s="120" t="s">
        <v>1377</v>
      </c>
      <c r="F515" s="142" t="s">
        <v>1281</v>
      </c>
      <c r="G515" s="117" t="s">
        <v>1383</v>
      </c>
      <c r="H515" s="118" t="s">
        <v>1384</v>
      </c>
      <c r="I515" s="119"/>
      <c r="J515" s="63"/>
      <c r="K515" s="63"/>
      <c r="L515" s="15"/>
      <c r="M515" s="15"/>
      <c r="N515" s="15"/>
      <c r="O515" s="15"/>
      <c r="P515" s="15"/>
      <c r="Q515" s="15"/>
      <c r="R515" s="15"/>
      <c r="S515" s="15"/>
      <c r="T515" s="15"/>
      <c r="U515" s="15"/>
      <c r="V515" s="15"/>
      <c r="W515" s="15"/>
      <c r="X515" s="15"/>
      <c r="Y515" s="15"/>
      <c r="Z515" s="15"/>
    </row>
    <row r="516" ht="12.75" customHeight="1">
      <c r="A516" s="37" t="str">
        <f t="shared" si="2"/>
        <v>ST_457</v>
      </c>
      <c r="B516" s="32"/>
      <c r="C516" s="32"/>
      <c r="D516" s="32"/>
      <c r="E516" s="32"/>
      <c r="F516" s="32"/>
      <c r="G516" s="141" t="s">
        <v>1385</v>
      </c>
      <c r="H516" s="118" t="s">
        <v>1333</v>
      </c>
      <c r="I516" s="119"/>
      <c r="J516" s="63"/>
      <c r="K516" s="63"/>
      <c r="L516" s="15"/>
      <c r="M516" s="15"/>
      <c r="N516" s="15"/>
      <c r="O516" s="15"/>
      <c r="P516" s="15"/>
      <c r="Q516" s="15"/>
      <c r="R516" s="15"/>
      <c r="S516" s="15"/>
      <c r="T516" s="15"/>
      <c r="U516" s="15"/>
      <c r="V516" s="15"/>
      <c r="W516" s="15"/>
      <c r="X516" s="15"/>
      <c r="Y516" s="15"/>
      <c r="Z516" s="15"/>
    </row>
    <row r="517" ht="12.75" customHeight="1">
      <c r="A517" s="37" t="str">
        <f t="shared" si="2"/>
        <v>ST_458</v>
      </c>
      <c r="B517" s="63" t="s">
        <v>842</v>
      </c>
      <c r="C517" s="117" t="s">
        <v>189</v>
      </c>
      <c r="D517" s="117" t="s">
        <v>1286</v>
      </c>
      <c r="E517" s="117" t="s">
        <v>1386</v>
      </c>
      <c r="F517" s="117" t="s">
        <v>1287</v>
      </c>
      <c r="G517" s="117" t="s">
        <v>1288</v>
      </c>
      <c r="H517" s="118" t="s">
        <v>1387</v>
      </c>
      <c r="I517" s="119"/>
      <c r="J517" s="63"/>
      <c r="K517" s="63"/>
      <c r="L517" s="15"/>
      <c r="M517" s="15"/>
      <c r="N517" s="15"/>
      <c r="O517" s="15"/>
      <c r="P517" s="15"/>
      <c r="Q517" s="15"/>
      <c r="R517" s="15"/>
      <c r="S517" s="15"/>
      <c r="T517" s="15"/>
      <c r="U517" s="15"/>
      <c r="V517" s="15"/>
      <c r="W517" s="15"/>
      <c r="X517" s="15"/>
      <c r="Y517" s="15"/>
      <c r="Z517" s="15"/>
    </row>
    <row r="518" ht="12.75" customHeight="1">
      <c r="A518" s="37" t="str">
        <f t="shared" si="2"/>
        <v>ST_459</v>
      </c>
      <c r="B518" s="120" t="s">
        <v>35</v>
      </c>
      <c r="C518" s="120" t="s">
        <v>1239</v>
      </c>
      <c r="D518" s="120" t="s">
        <v>1290</v>
      </c>
      <c r="E518" s="120" t="s">
        <v>1388</v>
      </c>
      <c r="F518" s="142" t="s">
        <v>1389</v>
      </c>
      <c r="G518" s="117" t="s">
        <v>1292</v>
      </c>
      <c r="H518" s="136" t="s">
        <v>1390</v>
      </c>
      <c r="I518" s="119"/>
      <c r="J518" s="63"/>
      <c r="K518" s="63"/>
      <c r="L518" s="15"/>
      <c r="M518" s="15"/>
      <c r="N518" s="15"/>
      <c r="O518" s="15"/>
      <c r="P518" s="15"/>
      <c r="Q518" s="15"/>
      <c r="R518" s="15"/>
      <c r="S518" s="15"/>
      <c r="T518" s="15"/>
      <c r="U518" s="15"/>
      <c r="V518" s="15"/>
      <c r="W518" s="15"/>
      <c r="X518" s="15"/>
      <c r="Y518" s="15"/>
      <c r="Z518" s="15"/>
    </row>
    <row r="519" ht="12.75" customHeight="1">
      <c r="A519" s="37" t="str">
        <f t="shared" si="2"/>
        <v>ST_460</v>
      </c>
      <c r="B519" s="32"/>
      <c r="C519" s="32"/>
      <c r="D519" s="32"/>
      <c r="E519" s="32"/>
      <c r="F519" s="32"/>
      <c r="G519" s="141" t="s">
        <v>1391</v>
      </c>
      <c r="H519" s="136" t="s">
        <v>1392</v>
      </c>
      <c r="I519" s="62"/>
      <c r="J519" s="63"/>
      <c r="K519" s="63"/>
      <c r="L519" s="15"/>
      <c r="M519" s="15"/>
      <c r="N519" s="15"/>
      <c r="O519" s="15"/>
      <c r="P519" s="15"/>
      <c r="Q519" s="15"/>
      <c r="R519" s="15"/>
      <c r="S519" s="15"/>
      <c r="T519" s="15"/>
      <c r="U519" s="15"/>
      <c r="V519" s="15"/>
      <c r="W519" s="15"/>
      <c r="X519" s="15"/>
      <c r="Y519" s="15"/>
      <c r="Z519" s="15"/>
    </row>
    <row r="520" ht="12.75" customHeight="1">
      <c r="A520" s="37" t="str">
        <f t="shared" si="2"/>
        <v>ST_461</v>
      </c>
      <c r="B520" s="120" t="s">
        <v>35</v>
      </c>
      <c r="C520" s="120" t="s">
        <v>1239</v>
      </c>
      <c r="D520" s="120" t="s">
        <v>1338</v>
      </c>
      <c r="E520" s="120" t="s">
        <v>1388</v>
      </c>
      <c r="F520" s="120" t="s">
        <v>1296</v>
      </c>
      <c r="G520" s="141" t="s">
        <v>1393</v>
      </c>
      <c r="H520" s="117" t="s">
        <v>1298</v>
      </c>
      <c r="I520" s="62"/>
      <c r="J520" s="63"/>
      <c r="K520" s="63"/>
      <c r="L520" s="15"/>
      <c r="M520" s="15"/>
      <c r="N520" s="15"/>
      <c r="O520" s="15"/>
      <c r="P520" s="15"/>
      <c r="Q520" s="15"/>
      <c r="R520" s="15"/>
      <c r="S520" s="15"/>
      <c r="T520" s="15"/>
      <c r="U520" s="15"/>
      <c r="V520" s="15"/>
      <c r="W520" s="15"/>
      <c r="X520" s="15"/>
      <c r="Y520" s="15"/>
      <c r="Z520" s="15"/>
    </row>
    <row r="521" ht="12.75" customHeight="1">
      <c r="A521" s="37"/>
      <c r="B521" s="32"/>
      <c r="C521" s="32"/>
      <c r="D521" s="32"/>
      <c r="E521" s="32"/>
      <c r="F521" s="32"/>
      <c r="G521" s="141" t="s">
        <v>1394</v>
      </c>
      <c r="H521" s="141" t="s">
        <v>1395</v>
      </c>
      <c r="I521" s="62"/>
      <c r="J521" s="63"/>
      <c r="K521" s="63"/>
      <c r="L521" s="15"/>
      <c r="M521" s="15"/>
      <c r="N521" s="15"/>
      <c r="O521" s="15"/>
      <c r="P521" s="15"/>
      <c r="Q521" s="15"/>
      <c r="R521" s="15"/>
      <c r="S521" s="15"/>
      <c r="T521" s="15"/>
      <c r="U521" s="15"/>
      <c r="V521" s="15"/>
      <c r="W521" s="15"/>
      <c r="X521" s="15"/>
      <c r="Y521" s="15"/>
      <c r="Z521" s="15"/>
    </row>
    <row r="522" ht="12.75" customHeight="1">
      <c r="A522" s="37" t="str">
        <f t="shared" ref="A522:A524" si="3">IF(AND(H522="",H522=""),"",$H$3&amp;"_"&amp;ROW()-11-COUNTBLANK($H$12:H522))</f>
        <v>ST_463</v>
      </c>
      <c r="B522" s="117" t="s">
        <v>254</v>
      </c>
      <c r="C522" s="117" t="s">
        <v>1239</v>
      </c>
      <c r="D522" s="117" t="s">
        <v>1299</v>
      </c>
      <c r="E522" s="117" t="s">
        <v>1388</v>
      </c>
      <c r="F522" s="117" t="s">
        <v>1300</v>
      </c>
      <c r="G522" s="117" t="s">
        <v>1301</v>
      </c>
      <c r="H522" s="117" t="s">
        <v>1302</v>
      </c>
      <c r="I522" s="62"/>
      <c r="J522" s="63"/>
      <c r="K522" s="63"/>
      <c r="L522" s="15"/>
      <c r="M522" s="15"/>
      <c r="N522" s="15"/>
      <c r="O522" s="15"/>
      <c r="P522" s="15"/>
      <c r="Q522" s="15"/>
      <c r="R522" s="15"/>
      <c r="S522" s="15"/>
      <c r="T522" s="15"/>
      <c r="U522" s="15"/>
      <c r="V522" s="15"/>
      <c r="W522" s="15"/>
      <c r="X522" s="15"/>
      <c r="Y522" s="15"/>
      <c r="Z522" s="15"/>
    </row>
    <row r="523" ht="12.75" customHeight="1">
      <c r="A523" s="37" t="str">
        <f t="shared" si="3"/>
        <v>ST_464</v>
      </c>
      <c r="B523" s="69" t="s">
        <v>842</v>
      </c>
      <c r="C523" s="120" t="s">
        <v>189</v>
      </c>
      <c r="D523" s="120" t="s">
        <v>1303</v>
      </c>
      <c r="E523" s="120" t="s">
        <v>1396</v>
      </c>
      <c r="F523" s="120" t="s">
        <v>1304</v>
      </c>
      <c r="G523" s="117" t="s">
        <v>1305</v>
      </c>
      <c r="H523" s="141" t="s">
        <v>1397</v>
      </c>
      <c r="I523" s="62"/>
      <c r="J523" s="63"/>
      <c r="K523" s="63"/>
      <c r="L523" s="15"/>
      <c r="M523" s="15"/>
      <c r="N523" s="15"/>
      <c r="O523" s="15"/>
      <c r="P523" s="15"/>
      <c r="Q523" s="15"/>
      <c r="R523" s="15"/>
      <c r="S523" s="15"/>
      <c r="T523" s="15"/>
      <c r="U523" s="15"/>
      <c r="V523" s="15"/>
      <c r="W523" s="15"/>
      <c r="X523" s="15"/>
      <c r="Y523" s="15"/>
      <c r="Z523" s="15"/>
    </row>
    <row r="524" ht="12.75" customHeight="1">
      <c r="A524" s="37" t="str">
        <f t="shared" si="3"/>
        <v>ST_465</v>
      </c>
      <c r="B524" s="32"/>
      <c r="C524" s="32"/>
      <c r="D524" s="32"/>
      <c r="E524" s="32"/>
      <c r="F524" s="32"/>
      <c r="G524" s="141" t="s">
        <v>1398</v>
      </c>
      <c r="H524" s="141" t="s">
        <v>1399</v>
      </c>
      <c r="I524" s="62"/>
      <c r="J524" s="63"/>
      <c r="K524" s="63"/>
      <c r="L524" s="15"/>
      <c r="M524" s="15"/>
      <c r="N524" s="15"/>
      <c r="O524" s="15"/>
      <c r="P524" s="15"/>
      <c r="Q524" s="15"/>
      <c r="R524" s="15"/>
      <c r="S524" s="15"/>
      <c r="T524" s="15"/>
      <c r="U524" s="15"/>
      <c r="V524" s="15"/>
      <c r="W524" s="15"/>
      <c r="X524" s="15"/>
      <c r="Y524" s="15"/>
      <c r="Z524" s="15"/>
    </row>
    <row r="525" ht="12.75" customHeight="1">
      <c r="A525" s="37"/>
      <c r="B525" s="63"/>
      <c r="C525" s="117"/>
      <c r="D525" s="117"/>
      <c r="E525" s="117"/>
      <c r="F525" s="117"/>
      <c r="G525" s="141" t="s">
        <v>1400</v>
      </c>
      <c r="H525" s="145" t="s">
        <v>1401</v>
      </c>
      <c r="I525" s="62"/>
      <c r="J525" s="63"/>
      <c r="K525" s="63"/>
      <c r="L525" s="77"/>
      <c r="M525" s="15"/>
      <c r="N525" s="15"/>
      <c r="O525" s="15"/>
      <c r="P525" s="15"/>
      <c r="Q525" s="15"/>
      <c r="R525" s="15"/>
      <c r="S525" s="15"/>
      <c r="T525" s="15"/>
      <c r="U525" s="15"/>
      <c r="V525" s="15"/>
      <c r="W525" s="15"/>
      <c r="X525" s="15"/>
      <c r="Y525" s="15"/>
      <c r="Z525" s="15"/>
    </row>
    <row r="526" ht="19.5" customHeight="1">
      <c r="A526" s="37" t="str">
        <f t="shared" ref="A526:A561" si="4">IF(AND(H526="",H526=""),"",$H$3&amp;"_"&amp;ROW()-11-COUNTBLANK($H$12:H526))</f>
        <v/>
      </c>
      <c r="B526" s="115" t="s">
        <v>1116</v>
      </c>
      <c r="C526" s="116"/>
      <c r="D526" s="116"/>
      <c r="E526" s="116"/>
      <c r="F526" s="116"/>
      <c r="G526" s="116"/>
      <c r="H526" s="116"/>
      <c r="I526" s="90"/>
      <c r="J526" s="90"/>
      <c r="K526" s="91"/>
      <c r="L526" s="15"/>
      <c r="M526" s="15"/>
      <c r="N526" s="15"/>
      <c r="O526" s="15"/>
      <c r="P526" s="15"/>
      <c r="Q526" s="15"/>
      <c r="R526" s="15"/>
      <c r="S526" s="15"/>
      <c r="T526" s="15"/>
      <c r="U526" s="15"/>
      <c r="V526" s="15"/>
      <c r="W526" s="15"/>
      <c r="X526" s="15"/>
      <c r="Y526" s="15"/>
      <c r="Z526" s="15"/>
    </row>
    <row r="527" ht="363.0" customHeight="1">
      <c r="A527" s="37" t="str">
        <f t="shared" si="4"/>
        <v>ST_467</v>
      </c>
      <c r="B527" s="117" t="s">
        <v>35</v>
      </c>
      <c r="C527" s="117" t="s">
        <v>1239</v>
      </c>
      <c r="D527" s="117" t="s">
        <v>1402</v>
      </c>
      <c r="E527" s="117" t="s">
        <v>1367</v>
      </c>
      <c r="F527" s="117" t="s">
        <v>1403</v>
      </c>
      <c r="G527" s="117" t="s">
        <v>1404</v>
      </c>
      <c r="H527" s="118" t="s">
        <v>1405</v>
      </c>
      <c r="I527" s="119"/>
      <c r="J527" s="63"/>
      <c r="K527" s="63"/>
      <c r="L527" s="15"/>
      <c r="M527" s="15"/>
      <c r="N527" s="15"/>
      <c r="O527" s="15"/>
      <c r="P527" s="15"/>
      <c r="Q527" s="15"/>
      <c r="R527" s="15"/>
      <c r="S527" s="15"/>
      <c r="T527" s="15"/>
      <c r="U527" s="15"/>
      <c r="V527" s="15"/>
      <c r="W527" s="15"/>
      <c r="X527" s="15"/>
      <c r="Y527" s="15"/>
      <c r="Z527" s="15"/>
    </row>
    <row r="528" ht="12.75" customHeight="1">
      <c r="A528" s="37" t="str">
        <f t="shared" si="4"/>
        <v>ST_468</v>
      </c>
      <c r="B528" s="131"/>
      <c r="C528" s="131"/>
      <c r="D528" s="131"/>
      <c r="E528" s="131"/>
      <c r="F528" s="131"/>
      <c r="G528" s="146" t="s">
        <v>1406</v>
      </c>
      <c r="H528" s="147" t="s">
        <v>1407</v>
      </c>
      <c r="I528" s="148"/>
      <c r="J528" s="149"/>
      <c r="K528" s="149"/>
      <c r="L528" s="15"/>
      <c r="M528" s="15"/>
      <c r="N528" s="15"/>
      <c r="O528" s="15"/>
      <c r="P528" s="15"/>
      <c r="Q528" s="15"/>
      <c r="R528" s="15"/>
      <c r="S528" s="15"/>
      <c r="T528" s="15"/>
      <c r="U528" s="15"/>
      <c r="V528" s="15"/>
      <c r="W528" s="15"/>
      <c r="X528" s="15"/>
      <c r="Y528" s="15"/>
      <c r="Z528" s="15"/>
    </row>
    <row r="529" ht="15.0" customHeight="1">
      <c r="A529" s="37" t="str">
        <f t="shared" si="4"/>
        <v/>
      </c>
      <c r="B529" s="150" t="s">
        <v>1408</v>
      </c>
      <c r="C529" s="151"/>
      <c r="D529" s="151"/>
      <c r="E529" s="151"/>
      <c r="F529" s="151"/>
      <c r="G529" s="151"/>
      <c r="H529" s="151"/>
      <c r="I529" s="151"/>
      <c r="J529" s="151"/>
      <c r="K529" s="152"/>
      <c r="L529" s="15"/>
      <c r="M529" s="15"/>
      <c r="N529" s="15"/>
      <c r="O529" s="15"/>
      <c r="P529" s="15"/>
      <c r="Q529" s="15"/>
      <c r="R529" s="15"/>
      <c r="S529" s="15"/>
      <c r="T529" s="15"/>
      <c r="U529" s="15"/>
      <c r="V529" s="86"/>
      <c r="W529" s="86"/>
      <c r="X529" s="86"/>
      <c r="Y529" s="86"/>
      <c r="Z529" s="86"/>
    </row>
    <row r="530" ht="19.5" customHeight="1">
      <c r="A530" s="37" t="str">
        <f t="shared" si="4"/>
        <v/>
      </c>
      <c r="B530" s="153" t="s">
        <v>1409</v>
      </c>
      <c r="C530" s="154"/>
      <c r="D530" s="154"/>
      <c r="E530" s="154"/>
      <c r="F530" s="154"/>
      <c r="G530" s="154"/>
      <c r="H530" s="154"/>
      <c r="I530" s="154"/>
      <c r="J530" s="154"/>
      <c r="K530" s="155"/>
      <c r="L530" s="15"/>
      <c r="M530" s="15"/>
      <c r="N530" s="15"/>
      <c r="O530" s="15"/>
      <c r="P530" s="15"/>
      <c r="Q530" s="15"/>
      <c r="R530" s="15"/>
      <c r="S530" s="15"/>
      <c r="T530" s="15"/>
      <c r="U530" s="15"/>
      <c r="V530" s="15"/>
      <c r="W530" s="15"/>
      <c r="X530" s="15"/>
      <c r="Y530" s="15"/>
      <c r="Z530" s="15"/>
    </row>
    <row r="531" ht="12.75" customHeight="1">
      <c r="A531" s="37" t="str">
        <f t="shared" si="4"/>
        <v>ST_469</v>
      </c>
      <c r="B531" s="117" t="s">
        <v>35</v>
      </c>
      <c r="C531" s="117" t="s">
        <v>1410</v>
      </c>
      <c r="D531" s="117" t="s">
        <v>37</v>
      </c>
      <c r="E531" s="117" t="s">
        <v>671</v>
      </c>
      <c r="F531" s="117" t="s">
        <v>1411</v>
      </c>
      <c r="G531" s="146" t="s">
        <v>1412</v>
      </c>
      <c r="H531" s="147" t="s">
        <v>1413</v>
      </c>
      <c r="I531" s="148"/>
      <c r="J531" s="149"/>
      <c r="K531" s="149"/>
      <c r="L531" s="15"/>
      <c r="M531" s="15"/>
      <c r="N531" s="15"/>
      <c r="O531" s="15"/>
      <c r="P531" s="15"/>
      <c r="Q531" s="15"/>
      <c r="R531" s="15"/>
      <c r="S531" s="15"/>
      <c r="T531" s="15"/>
      <c r="U531" s="15"/>
      <c r="V531" s="15"/>
      <c r="W531" s="15"/>
      <c r="X531" s="15"/>
      <c r="Y531" s="15"/>
      <c r="Z531" s="15"/>
    </row>
    <row r="532" ht="12.75" customHeight="1">
      <c r="A532" s="37" t="str">
        <f t="shared" si="4"/>
        <v>ST_470</v>
      </c>
      <c r="B532" s="117" t="s">
        <v>35</v>
      </c>
      <c r="C532" s="117" t="s">
        <v>1414</v>
      </c>
      <c r="D532" s="117" t="s">
        <v>37</v>
      </c>
      <c r="E532" s="117" t="s">
        <v>671</v>
      </c>
      <c r="F532" s="117" t="s">
        <v>1415</v>
      </c>
      <c r="G532" s="56" t="s">
        <v>1416</v>
      </c>
      <c r="H532" s="19" t="s">
        <v>1417</v>
      </c>
      <c r="I532" s="148"/>
      <c r="J532" s="149"/>
      <c r="K532" s="149"/>
      <c r="L532" s="15"/>
      <c r="M532" s="15"/>
      <c r="N532" s="15"/>
      <c r="O532" s="15"/>
      <c r="P532" s="15"/>
      <c r="Q532" s="15"/>
      <c r="R532" s="15"/>
      <c r="S532" s="15"/>
      <c r="T532" s="15"/>
      <c r="U532" s="15"/>
      <c r="V532" s="15"/>
      <c r="W532" s="15"/>
      <c r="X532" s="15"/>
      <c r="Y532" s="15"/>
      <c r="Z532" s="15"/>
    </row>
    <row r="533" ht="12.75" customHeight="1">
      <c r="A533" s="37" t="str">
        <f t="shared" si="4"/>
        <v>ST_471</v>
      </c>
      <c r="B533" s="117" t="s">
        <v>35</v>
      </c>
      <c r="C533" s="117" t="s">
        <v>1418</v>
      </c>
      <c r="D533" s="117" t="s">
        <v>485</v>
      </c>
      <c r="E533" s="117" t="s">
        <v>1419</v>
      </c>
      <c r="F533" s="117" t="s">
        <v>1420</v>
      </c>
      <c r="G533" s="146" t="s">
        <v>1421</v>
      </c>
      <c r="H533" s="147" t="s">
        <v>1422</v>
      </c>
      <c r="I533" s="148"/>
      <c r="J533" s="149"/>
      <c r="K533" s="149"/>
      <c r="L533" s="15"/>
      <c r="M533" s="15"/>
      <c r="N533" s="15"/>
      <c r="O533" s="15"/>
      <c r="P533" s="15"/>
      <c r="Q533" s="15"/>
      <c r="R533" s="15"/>
      <c r="S533" s="15"/>
      <c r="T533" s="15"/>
      <c r="U533" s="15"/>
      <c r="V533" s="15"/>
      <c r="W533" s="15"/>
      <c r="X533" s="15"/>
      <c r="Y533" s="15"/>
      <c r="Z533" s="15"/>
    </row>
    <row r="534" ht="12.75" customHeight="1">
      <c r="A534" s="37" t="str">
        <f t="shared" si="4"/>
        <v>ST_472</v>
      </c>
      <c r="B534" s="117" t="s">
        <v>35</v>
      </c>
      <c r="C534" s="117" t="s">
        <v>365</v>
      </c>
      <c r="D534" s="117" t="s">
        <v>189</v>
      </c>
      <c r="E534" s="117" t="s">
        <v>1423</v>
      </c>
      <c r="F534" s="117" t="s">
        <v>366</v>
      </c>
      <c r="G534" s="146" t="s">
        <v>356</v>
      </c>
      <c r="H534" s="147" t="s">
        <v>1424</v>
      </c>
      <c r="I534" s="148"/>
      <c r="J534" s="149"/>
      <c r="K534" s="149"/>
      <c r="L534" s="15"/>
      <c r="M534" s="15"/>
      <c r="N534" s="15"/>
      <c r="O534" s="15"/>
      <c r="P534" s="15"/>
      <c r="Q534" s="15"/>
      <c r="R534" s="15"/>
      <c r="S534" s="15"/>
      <c r="T534" s="15"/>
      <c r="U534" s="15"/>
      <c r="V534" s="15"/>
      <c r="W534" s="15"/>
      <c r="X534" s="15"/>
      <c r="Y534" s="15"/>
      <c r="Z534" s="15"/>
    </row>
    <row r="535" ht="49.5" customHeight="1">
      <c r="A535" s="37" t="str">
        <f t="shared" si="4"/>
        <v>ST_473</v>
      </c>
      <c r="B535" s="156" t="s">
        <v>35</v>
      </c>
      <c r="C535" s="117" t="s">
        <v>1425</v>
      </c>
      <c r="D535" s="117" t="s">
        <v>189</v>
      </c>
      <c r="E535" s="117" t="s">
        <v>1423</v>
      </c>
      <c r="F535" s="117" t="s">
        <v>1426</v>
      </c>
      <c r="G535" s="146" t="s">
        <v>1427</v>
      </c>
      <c r="H535" s="157" t="s">
        <v>1428</v>
      </c>
      <c r="I535" s="148"/>
      <c r="J535" s="149"/>
      <c r="K535" s="149"/>
      <c r="L535" s="15"/>
      <c r="M535" s="15"/>
      <c r="N535" s="15"/>
      <c r="O535" s="15"/>
      <c r="P535" s="15"/>
      <c r="Q535" s="15"/>
      <c r="R535" s="15"/>
      <c r="S535" s="15"/>
      <c r="T535" s="15"/>
      <c r="U535" s="15"/>
      <c r="V535" s="15"/>
      <c r="W535" s="15"/>
      <c r="X535" s="15"/>
      <c r="Y535" s="15"/>
      <c r="Z535" s="15"/>
    </row>
    <row r="536" ht="72.75" customHeight="1">
      <c r="A536" s="37" t="str">
        <f t="shared" si="4"/>
        <v>ST_474</v>
      </c>
      <c r="B536" s="73"/>
      <c r="C536" s="117" t="s">
        <v>1429</v>
      </c>
      <c r="D536" s="117" t="s">
        <v>189</v>
      </c>
      <c r="E536" s="117" t="s">
        <v>1423</v>
      </c>
      <c r="F536" s="117" t="s">
        <v>1430</v>
      </c>
      <c r="G536" s="146" t="s">
        <v>1431</v>
      </c>
      <c r="H536" s="147" t="s">
        <v>1432</v>
      </c>
      <c r="I536" s="148"/>
      <c r="J536" s="149"/>
      <c r="K536" s="149"/>
      <c r="L536" s="15"/>
      <c r="M536" s="15"/>
      <c r="N536" s="15"/>
      <c r="O536" s="15"/>
      <c r="P536" s="15"/>
      <c r="Q536" s="15"/>
      <c r="R536" s="15"/>
      <c r="S536" s="15"/>
      <c r="T536" s="15"/>
      <c r="U536" s="15"/>
      <c r="V536" s="15"/>
      <c r="W536" s="15"/>
      <c r="X536" s="15"/>
      <c r="Y536" s="15"/>
      <c r="Z536" s="15"/>
    </row>
    <row r="537" ht="12.75" customHeight="1">
      <c r="A537" s="37" t="str">
        <f t="shared" si="4"/>
        <v>ST_475</v>
      </c>
      <c r="B537" s="32"/>
      <c r="C537" s="117" t="s">
        <v>1433</v>
      </c>
      <c r="D537" s="117" t="s">
        <v>189</v>
      </c>
      <c r="E537" s="117" t="s">
        <v>1423</v>
      </c>
      <c r="F537" s="117" t="s">
        <v>1434</v>
      </c>
      <c r="G537" s="146" t="s">
        <v>1435</v>
      </c>
      <c r="H537" s="147" t="s">
        <v>1436</v>
      </c>
      <c r="I537" s="148"/>
      <c r="J537" s="149"/>
      <c r="K537" s="149"/>
      <c r="L537" s="15"/>
      <c r="M537" s="15"/>
      <c r="N537" s="15"/>
      <c r="O537" s="15"/>
      <c r="P537" s="15"/>
      <c r="Q537" s="15"/>
      <c r="R537" s="15"/>
      <c r="S537" s="15"/>
      <c r="T537" s="15"/>
      <c r="U537" s="15"/>
      <c r="V537" s="15"/>
      <c r="W537" s="15"/>
      <c r="X537" s="15"/>
      <c r="Y537" s="15"/>
      <c r="Z537" s="15"/>
    </row>
    <row r="538" ht="18.0" customHeight="1">
      <c r="A538" s="37" t="str">
        <f t="shared" si="4"/>
        <v/>
      </c>
      <c r="B538" s="158" t="s">
        <v>1437</v>
      </c>
      <c r="C538" s="154"/>
      <c r="D538" s="154"/>
      <c r="E538" s="154"/>
      <c r="F538" s="154"/>
      <c r="G538" s="154"/>
      <c r="H538" s="154"/>
      <c r="I538" s="154"/>
      <c r="J538" s="154"/>
      <c r="K538" s="155"/>
      <c r="L538" s="15"/>
      <c r="M538" s="15"/>
      <c r="N538" s="15"/>
      <c r="O538" s="15"/>
      <c r="P538" s="15"/>
      <c r="Q538" s="15"/>
      <c r="R538" s="15"/>
      <c r="S538" s="15"/>
      <c r="T538" s="15"/>
      <c r="U538" s="15"/>
      <c r="V538" s="15"/>
      <c r="W538" s="15"/>
      <c r="X538" s="15"/>
      <c r="Y538" s="15"/>
      <c r="Z538" s="15"/>
    </row>
    <row r="539" ht="96.75" customHeight="1">
      <c r="A539" s="37" t="str">
        <f t="shared" si="4"/>
        <v>ST_476</v>
      </c>
      <c r="B539" s="117" t="s">
        <v>35</v>
      </c>
      <c r="C539" s="117" t="s">
        <v>1438</v>
      </c>
      <c r="D539" s="117" t="s">
        <v>37</v>
      </c>
      <c r="E539" s="117" t="s">
        <v>671</v>
      </c>
      <c r="F539" s="117" t="s">
        <v>1439</v>
      </c>
      <c r="G539" s="146" t="s">
        <v>1440</v>
      </c>
      <c r="H539" s="147" t="s">
        <v>1441</v>
      </c>
      <c r="I539" s="148"/>
      <c r="J539" s="149"/>
      <c r="K539" s="149"/>
      <c r="L539" s="15"/>
      <c r="M539" s="15"/>
      <c r="N539" s="15"/>
      <c r="O539" s="15"/>
      <c r="P539" s="15"/>
      <c r="Q539" s="15"/>
      <c r="R539" s="15"/>
      <c r="S539" s="15"/>
      <c r="T539" s="15"/>
      <c r="U539" s="15"/>
      <c r="V539" s="15"/>
      <c r="W539" s="15"/>
      <c r="X539" s="15"/>
      <c r="Y539" s="15"/>
      <c r="Z539" s="15"/>
    </row>
    <row r="540" ht="12.75" customHeight="1">
      <c r="A540" s="37" t="str">
        <f t="shared" si="4"/>
        <v>ST_477</v>
      </c>
      <c r="B540" s="144" t="s">
        <v>35</v>
      </c>
      <c r="C540" s="144" t="s">
        <v>1442</v>
      </c>
      <c r="D540" s="144" t="s">
        <v>37</v>
      </c>
      <c r="E540" s="144" t="s">
        <v>671</v>
      </c>
      <c r="F540" s="144" t="s">
        <v>1443</v>
      </c>
      <c r="G540" s="159" t="s">
        <v>1444</v>
      </c>
      <c r="H540" s="19" t="s">
        <v>1445</v>
      </c>
      <c r="I540" s="148"/>
      <c r="J540" s="149"/>
      <c r="K540" s="149"/>
      <c r="L540" s="15"/>
      <c r="M540" s="15"/>
      <c r="N540" s="15"/>
      <c r="O540" s="15"/>
      <c r="P540" s="15"/>
      <c r="Q540" s="15"/>
      <c r="R540" s="15"/>
      <c r="S540" s="15"/>
      <c r="T540" s="15"/>
      <c r="U540" s="15"/>
      <c r="V540" s="15"/>
      <c r="W540" s="15"/>
      <c r="X540" s="15"/>
      <c r="Y540" s="15"/>
      <c r="Z540" s="15"/>
    </row>
    <row r="541" ht="12.75" customHeight="1">
      <c r="A541" s="37" t="str">
        <f t="shared" si="4"/>
        <v>ST_478</v>
      </c>
      <c r="B541" s="32"/>
      <c r="C541" s="32"/>
      <c r="D541" s="32"/>
      <c r="E541" s="32"/>
      <c r="F541" s="32"/>
      <c r="G541" s="146" t="s">
        <v>1446</v>
      </c>
      <c r="H541" s="147" t="s">
        <v>1447</v>
      </c>
      <c r="I541" s="148"/>
      <c r="J541" s="149"/>
      <c r="K541" s="149"/>
      <c r="L541" s="15"/>
      <c r="M541" s="15"/>
      <c r="N541" s="15"/>
      <c r="O541" s="15"/>
      <c r="P541" s="15"/>
      <c r="Q541" s="15"/>
      <c r="R541" s="15"/>
      <c r="S541" s="15"/>
      <c r="T541" s="15"/>
      <c r="U541" s="15"/>
      <c r="V541" s="15"/>
      <c r="W541" s="15"/>
      <c r="X541" s="15"/>
      <c r="Y541" s="15"/>
      <c r="Z541" s="15"/>
    </row>
    <row r="542" ht="12.75" customHeight="1">
      <c r="A542" s="37" t="str">
        <f t="shared" si="4"/>
        <v>ST_479</v>
      </c>
      <c r="B542" s="117" t="s">
        <v>35</v>
      </c>
      <c r="C542" s="117" t="s">
        <v>365</v>
      </c>
      <c r="D542" s="117" t="s">
        <v>37</v>
      </c>
      <c r="E542" s="117" t="s">
        <v>671</v>
      </c>
      <c r="F542" s="117" t="s">
        <v>366</v>
      </c>
      <c r="G542" s="146" t="s">
        <v>1448</v>
      </c>
      <c r="H542" s="147" t="s">
        <v>1449</v>
      </c>
      <c r="I542" s="148"/>
      <c r="J542" s="149"/>
      <c r="K542" s="149"/>
      <c r="L542" s="15"/>
      <c r="M542" s="15"/>
      <c r="N542" s="15"/>
      <c r="O542" s="15"/>
      <c r="P542" s="15"/>
      <c r="Q542" s="15"/>
      <c r="R542" s="15"/>
      <c r="S542" s="15"/>
      <c r="T542" s="15"/>
      <c r="U542" s="15"/>
      <c r="V542" s="15"/>
      <c r="W542" s="15"/>
      <c r="X542" s="15"/>
      <c r="Y542" s="15"/>
      <c r="Z542" s="15"/>
    </row>
    <row r="543" ht="12.75" customHeight="1">
      <c r="A543" s="37" t="str">
        <f t="shared" si="4"/>
        <v/>
      </c>
      <c r="B543" s="153" t="s">
        <v>1450</v>
      </c>
      <c r="C543" s="154"/>
      <c r="D543" s="154"/>
      <c r="E543" s="154"/>
      <c r="F543" s="154"/>
      <c r="G543" s="154"/>
      <c r="H543" s="154"/>
      <c r="I543" s="154"/>
      <c r="J543" s="154"/>
      <c r="K543" s="155"/>
      <c r="L543" s="15"/>
      <c r="M543" s="15"/>
      <c r="N543" s="15"/>
      <c r="O543" s="15"/>
      <c r="P543" s="15"/>
      <c r="Q543" s="15"/>
      <c r="R543" s="15"/>
      <c r="S543" s="15"/>
      <c r="T543" s="15"/>
      <c r="U543" s="15"/>
      <c r="V543" s="15"/>
      <c r="W543" s="15"/>
      <c r="X543" s="15"/>
      <c r="Y543" s="15"/>
      <c r="Z543" s="15"/>
    </row>
    <row r="544" ht="12.75" customHeight="1">
      <c r="A544" s="37" t="str">
        <f t="shared" si="4"/>
        <v>ST_480</v>
      </c>
      <c r="B544" s="117" t="s">
        <v>35</v>
      </c>
      <c r="C544" s="117" t="s">
        <v>37</v>
      </c>
      <c r="D544" s="117" t="s">
        <v>1451</v>
      </c>
      <c r="E544" s="117" t="s">
        <v>671</v>
      </c>
      <c r="F544" s="117" t="s">
        <v>1452</v>
      </c>
      <c r="G544" s="160" t="s">
        <v>1453</v>
      </c>
      <c r="H544" s="147" t="s">
        <v>1454</v>
      </c>
      <c r="I544" s="148"/>
      <c r="J544" s="149"/>
      <c r="K544" s="149"/>
      <c r="L544" s="15"/>
      <c r="M544" s="15"/>
      <c r="N544" s="15"/>
      <c r="O544" s="15"/>
      <c r="P544" s="15"/>
      <c r="Q544" s="15"/>
      <c r="R544" s="15"/>
      <c r="S544" s="15"/>
      <c r="T544" s="15"/>
      <c r="U544" s="15"/>
      <c r="V544" s="15"/>
      <c r="W544" s="15"/>
      <c r="X544" s="15"/>
      <c r="Y544" s="15"/>
      <c r="Z544" s="15"/>
    </row>
    <row r="545" ht="12.75" customHeight="1">
      <c r="A545" s="37" t="str">
        <f t="shared" si="4"/>
        <v>ST_481</v>
      </c>
      <c r="B545" s="117" t="s">
        <v>35</v>
      </c>
      <c r="C545" s="117" t="s">
        <v>37</v>
      </c>
      <c r="D545" s="117" t="s">
        <v>1455</v>
      </c>
      <c r="E545" s="117" t="s">
        <v>671</v>
      </c>
      <c r="F545" s="117" t="s">
        <v>1456</v>
      </c>
      <c r="G545" s="160" t="s">
        <v>1457</v>
      </c>
      <c r="H545" s="147" t="s">
        <v>1458</v>
      </c>
      <c r="I545" s="148"/>
      <c r="J545" s="149"/>
      <c r="K545" s="149"/>
      <c r="L545" s="15"/>
      <c r="M545" s="15"/>
      <c r="N545" s="15"/>
      <c r="O545" s="15"/>
      <c r="P545" s="15"/>
      <c r="Q545" s="15"/>
      <c r="R545" s="15"/>
      <c r="S545" s="15"/>
      <c r="T545" s="15"/>
      <c r="U545" s="15"/>
      <c r="V545" s="15"/>
      <c r="W545" s="15"/>
      <c r="X545" s="15"/>
      <c r="Y545" s="15"/>
      <c r="Z545" s="15"/>
    </row>
    <row r="546" ht="12.75" customHeight="1">
      <c r="A546" s="37" t="str">
        <f t="shared" si="4"/>
        <v>ST_482</v>
      </c>
      <c r="B546" s="117" t="s">
        <v>35</v>
      </c>
      <c r="C546" s="117" t="s">
        <v>37</v>
      </c>
      <c r="D546" s="117" t="s">
        <v>1459</v>
      </c>
      <c r="E546" s="117" t="s">
        <v>671</v>
      </c>
      <c r="F546" s="117" t="s">
        <v>1460</v>
      </c>
      <c r="G546" s="160" t="s">
        <v>1461</v>
      </c>
      <c r="H546" s="147" t="s">
        <v>1462</v>
      </c>
      <c r="I546" s="148"/>
      <c r="J546" s="149"/>
      <c r="K546" s="149"/>
      <c r="L546" s="15"/>
      <c r="M546" s="15"/>
      <c r="N546" s="15"/>
      <c r="O546" s="15"/>
      <c r="P546" s="15"/>
      <c r="Q546" s="15"/>
      <c r="R546" s="15"/>
      <c r="S546" s="15"/>
      <c r="T546" s="15"/>
      <c r="U546" s="15"/>
      <c r="V546" s="15"/>
      <c r="W546" s="15"/>
      <c r="X546" s="15"/>
      <c r="Y546" s="15"/>
      <c r="Z546" s="15"/>
    </row>
    <row r="547" ht="60.0" customHeight="1">
      <c r="A547" s="37" t="str">
        <f t="shared" si="4"/>
        <v>ST_483</v>
      </c>
      <c r="B547" s="117" t="s">
        <v>35</v>
      </c>
      <c r="C547" s="117" t="s">
        <v>37</v>
      </c>
      <c r="D547" s="117" t="s">
        <v>1463</v>
      </c>
      <c r="E547" s="117" t="s">
        <v>671</v>
      </c>
      <c r="F547" s="117" t="s">
        <v>1464</v>
      </c>
      <c r="G547" s="160" t="s">
        <v>1465</v>
      </c>
      <c r="H547" s="147" t="s">
        <v>1466</v>
      </c>
      <c r="I547" s="148"/>
      <c r="J547" s="149"/>
      <c r="K547" s="149"/>
      <c r="L547" s="15"/>
      <c r="M547" s="15"/>
      <c r="N547" s="15"/>
      <c r="O547" s="15"/>
      <c r="P547" s="15"/>
      <c r="Q547" s="15"/>
      <c r="R547" s="15"/>
      <c r="S547" s="15"/>
      <c r="T547" s="15"/>
      <c r="U547" s="15"/>
      <c r="V547" s="15"/>
      <c r="W547" s="15"/>
      <c r="X547" s="15"/>
      <c r="Y547" s="15"/>
      <c r="Z547" s="15"/>
    </row>
    <row r="548" ht="12.75" customHeight="1">
      <c r="A548" s="37" t="str">
        <f t="shared" si="4"/>
        <v>ST_484</v>
      </c>
      <c r="B548" s="117" t="s">
        <v>842</v>
      </c>
      <c r="C548" s="117" t="s">
        <v>189</v>
      </c>
      <c r="D548" s="117" t="s">
        <v>1467</v>
      </c>
      <c r="E548" s="117" t="s">
        <v>1468</v>
      </c>
      <c r="F548" s="117" t="s">
        <v>1469</v>
      </c>
      <c r="G548" s="160" t="s">
        <v>1470</v>
      </c>
      <c r="H548" s="147" t="s">
        <v>1471</v>
      </c>
      <c r="I548" s="148"/>
      <c r="J548" s="149"/>
      <c r="K548" s="149"/>
      <c r="L548" s="15"/>
      <c r="M548" s="15"/>
      <c r="N548" s="15"/>
      <c r="O548" s="15"/>
      <c r="P548" s="15"/>
      <c r="Q548" s="15"/>
      <c r="R548" s="15"/>
      <c r="S548" s="15"/>
      <c r="T548" s="15"/>
      <c r="U548" s="15"/>
      <c r="V548" s="15"/>
      <c r="W548" s="15"/>
      <c r="X548" s="15"/>
      <c r="Y548" s="15"/>
      <c r="Z548" s="15"/>
    </row>
    <row r="549" ht="12.75" customHeight="1">
      <c r="A549" s="37" t="str">
        <f t="shared" si="4"/>
        <v>ST_485</v>
      </c>
      <c r="B549" s="117" t="s">
        <v>35</v>
      </c>
      <c r="C549" s="117" t="s">
        <v>37</v>
      </c>
      <c r="D549" s="117" t="s">
        <v>1472</v>
      </c>
      <c r="E549" s="117" t="s">
        <v>671</v>
      </c>
      <c r="F549" s="117" t="s">
        <v>1473</v>
      </c>
      <c r="G549" s="160" t="s">
        <v>1474</v>
      </c>
      <c r="H549" s="147" t="s">
        <v>1475</v>
      </c>
      <c r="I549" s="148"/>
      <c r="J549" s="149"/>
      <c r="K549" s="149"/>
      <c r="L549" s="15"/>
      <c r="M549" s="15"/>
      <c r="N549" s="15"/>
      <c r="O549" s="15"/>
      <c r="P549" s="15"/>
      <c r="Q549" s="15"/>
      <c r="R549" s="15"/>
      <c r="S549" s="15"/>
      <c r="T549" s="15"/>
      <c r="U549" s="15"/>
      <c r="V549" s="15"/>
      <c r="W549" s="15"/>
      <c r="X549" s="15"/>
      <c r="Y549" s="15"/>
      <c r="Z549" s="15"/>
    </row>
    <row r="550" ht="60.0" customHeight="1">
      <c r="A550" s="37" t="str">
        <f t="shared" si="4"/>
        <v>ST_486</v>
      </c>
      <c r="B550" s="117" t="s">
        <v>35</v>
      </c>
      <c r="C550" s="117" t="s">
        <v>37</v>
      </c>
      <c r="D550" s="117" t="s">
        <v>1463</v>
      </c>
      <c r="E550" s="117" t="s">
        <v>671</v>
      </c>
      <c r="F550" s="117" t="s">
        <v>1464</v>
      </c>
      <c r="G550" s="160" t="s">
        <v>1465</v>
      </c>
      <c r="H550" s="147" t="s">
        <v>686</v>
      </c>
      <c r="I550" s="148"/>
      <c r="J550" s="149"/>
      <c r="K550" s="149"/>
      <c r="L550" s="15"/>
      <c r="M550" s="15"/>
      <c r="N550" s="15"/>
      <c r="O550" s="15"/>
      <c r="P550" s="15"/>
      <c r="Q550" s="15"/>
      <c r="R550" s="15"/>
      <c r="S550" s="15"/>
      <c r="T550" s="15"/>
      <c r="U550" s="15"/>
      <c r="V550" s="15"/>
      <c r="W550" s="15"/>
      <c r="X550" s="15"/>
      <c r="Y550" s="15"/>
      <c r="Z550" s="15"/>
    </row>
    <row r="551" ht="12.75" customHeight="1">
      <c r="A551" s="37" t="str">
        <f t="shared" si="4"/>
        <v>ST_487</v>
      </c>
      <c r="B551" s="117" t="s">
        <v>842</v>
      </c>
      <c r="C551" s="117" t="s">
        <v>189</v>
      </c>
      <c r="D551" s="117" t="s">
        <v>1467</v>
      </c>
      <c r="E551" s="117" t="s">
        <v>1468</v>
      </c>
      <c r="F551" s="117" t="s">
        <v>1469</v>
      </c>
      <c r="G551" s="160" t="s">
        <v>1470</v>
      </c>
      <c r="H551" s="147" t="s">
        <v>1342</v>
      </c>
      <c r="I551" s="148"/>
      <c r="J551" s="149"/>
      <c r="K551" s="149"/>
      <c r="L551" s="15"/>
      <c r="M551" s="15"/>
      <c r="N551" s="15"/>
      <c r="O551" s="15"/>
      <c r="P551" s="15"/>
      <c r="Q551" s="15"/>
      <c r="R551" s="15"/>
      <c r="S551" s="15"/>
      <c r="T551" s="15"/>
      <c r="U551" s="15"/>
      <c r="V551" s="15"/>
      <c r="W551" s="15"/>
      <c r="X551" s="15"/>
      <c r="Y551" s="15"/>
      <c r="Z551" s="15"/>
    </row>
    <row r="552" ht="19.5" customHeight="1">
      <c r="A552" s="37" t="str">
        <f t="shared" si="4"/>
        <v/>
      </c>
      <c r="B552" s="153" t="s">
        <v>1476</v>
      </c>
      <c r="C552" s="161"/>
      <c r="D552" s="154"/>
      <c r="E552" s="154"/>
      <c r="F552" s="154"/>
      <c r="G552" s="154"/>
      <c r="H552" s="154"/>
      <c r="I552" s="154"/>
      <c r="J552" s="154"/>
      <c r="K552" s="155"/>
      <c r="L552" s="15"/>
      <c r="M552" s="15"/>
      <c r="N552" s="15"/>
      <c r="O552" s="15"/>
      <c r="P552" s="15"/>
      <c r="Q552" s="15"/>
      <c r="R552" s="15"/>
      <c r="S552" s="15"/>
      <c r="T552" s="15"/>
      <c r="U552" s="15"/>
      <c r="V552" s="15"/>
      <c r="W552" s="15"/>
      <c r="X552" s="15"/>
      <c r="Y552" s="15"/>
      <c r="Z552" s="15"/>
    </row>
    <row r="553" ht="12.75" customHeight="1">
      <c r="A553" s="37" t="str">
        <f t="shared" si="4"/>
        <v>ST_488</v>
      </c>
      <c r="B553" s="117" t="s">
        <v>35</v>
      </c>
      <c r="C553" s="117" t="s">
        <v>1477</v>
      </c>
      <c r="D553" s="117" t="s">
        <v>37</v>
      </c>
      <c r="E553" s="117" t="s">
        <v>671</v>
      </c>
      <c r="F553" s="117" t="s">
        <v>1478</v>
      </c>
      <c r="G553" s="160" t="s">
        <v>1479</v>
      </c>
      <c r="H553" s="147" t="s">
        <v>1480</v>
      </c>
      <c r="I553" s="148"/>
      <c r="J553" s="149"/>
      <c r="K553" s="149"/>
      <c r="L553" s="15"/>
      <c r="M553" s="15"/>
      <c r="N553" s="15"/>
      <c r="O553" s="15"/>
      <c r="P553" s="15"/>
      <c r="Q553" s="15"/>
      <c r="R553" s="15"/>
      <c r="S553" s="15"/>
      <c r="T553" s="15"/>
      <c r="U553" s="15"/>
      <c r="V553" s="15"/>
      <c r="W553" s="15"/>
      <c r="X553" s="15"/>
      <c r="Y553" s="15"/>
      <c r="Z553" s="15"/>
    </row>
    <row r="554" ht="12.75" customHeight="1">
      <c r="A554" s="37" t="str">
        <f t="shared" si="4"/>
        <v>ST_489</v>
      </c>
      <c r="B554" s="144" t="s">
        <v>35</v>
      </c>
      <c r="C554" s="156" t="s">
        <v>1481</v>
      </c>
      <c r="D554" s="156" t="s">
        <v>37</v>
      </c>
      <c r="E554" s="156" t="s">
        <v>671</v>
      </c>
      <c r="F554" s="156" t="s">
        <v>1482</v>
      </c>
      <c r="G554" s="160" t="s">
        <v>1483</v>
      </c>
      <c r="H554" s="147" t="s">
        <v>1484</v>
      </c>
      <c r="I554" s="148"/>
      <c r="J554" s="149"/>
      <c r="K554" s="149"/>
      <c r="L554" s="15"/>
      <c r="M554" s="15"/>
      <c r="N554" s="15"/>
      <c r="O554" s="15"/>
      <c r="P554" s="15"/>
      <c r="Q554" s="15"/>
      <c r="R554" s="15"/>
      <c r="S554" s="15"/>
      <c r="T554" s="15"/>
      <c r="U554" s="15"/>
      <c r="V554" s="15"/>
      <c r="W554" s="15"/>
      <c r="X554" s="15"/>
      <c r="Y554" s="15"/>
      <c r="Z554" s="15"/>
    </row>
    <row r="555" ht="12.75" customHeight="1">
      <c r="A555" s="37" t="str">
        <f t="shared" si="4"/>
        <v>ST_490</v>
      </c>
      <c r="B555" s="32"/>
      <c r="C555" s="32"/>
      <c r="D555" s="32"/>
      <c r="E555" s="32"/>
      <c r="F555" s="32"/>
      <c r="G555" s="160" t="s">
        <v>1485</v>
      </c>
      <c r="H555" s="147" t="s">
        <v>1486</v>
      </c>
      <c r="I555" s="148"/>
      <c r="J555" s="149"/>
      <c r="K555" s="149"/>
      <c r="L555" s="15"/>
      <c r="M555" s="15"/>
      <c r="N555" s="15"/>
      <c r="O555" s="15"/>
      <c r="P555" s="15"/>
      <c r="Q555" s="15"/>
      <c r="R555" s="15"/>
      <c r="S555" s="15"/>
      <c r="T555" s="15"/>
      <c r="U555" s="15"/>
      <c r="V555" s="15"/>
      <c r="W555" s="15"/>
      <c r="X555" s="15"/>
      <c r="Y555" s="15"/>
      <c r="Z555" s="15"/>
    </row>
    <row r="556" ht="12.75" customHeight="1">
      <c r="A556" s="37" t="str">
        <f t="shared" si="4"/>
        <v>ST_491</v>
      </c>
      <c r="B556" s="117" t="s">
        <v>35</v>
      </c>
      <c r="C556" s="117" t="s">
        <v>1487</v>
      </c>
      <c r="D556" s="117" t="s">
        <v>189</v>
      </c>
      <c r="E556" s="117" t="s">
        <v>1488</v>
      </c>
      <c r="F556" s="117" t="s">
        <v>1489</v>
      </c>
      <c r="G556" s="160" t="s">
        <v>1490</v>
      </c>
      <c r="H556" s="147" t="s">
        <v>1491</v>
      </c>
      <c r="I556" s="148"/>
      <c r="J556" s="149"/>
      <c r="K556" s="149"/>
      <c r="L556" s="15"/>
      <c r="M556" s="15"/>
      <c r="N556" s="15"/>
      <c r="O556" s="15"/>
      <c r="P556" s="15"/>
      <c r="Q556" s="15"/>
      <c r="R556" s="15"/>
      <c r="S556" s="15"/>
      <c r="T556" s="15"/>
      <c r="U556" s="15"/>
      <c r="V556" s="15"/>
      <c r="W556" s="15"/>
      <c r="X556" s="15"/>
      <c r="Y556" s="15"/>
      <c r="Z556" s="15"/>
    </row>
    <row r="557" ht="12.75" customHeight="1">
      <c r="A557" s="37" t="str">
        <f t="shared" si="4"/>
        <v>ST_492</v>
      </c>
      <c r="B557" s="117" t="s">
        <v>35</v>
      </c>
      <c r="C557" s="117" t="s">
        <v>1492</v>
      </c>
      <c r="D557" s="117" t="s">
        <v>37</v>
      </c>
      <c r="E557" s="117" t="s">
        <v>1367</v>
      </c>
      <c r="F557" s="117" t="s">
        <v>1489</v>
      </c>
      <c r="G557" s="160" t="s">
        <v>1493</v>
      </c>
      <c r="H557" s="147" t="s">
        <v>1494</v>
      </c>
      <c r="I557" s="148"/>
      <c r="J557" s="149"/>
      <c r="K557" s="149"/>
      <c r="L557" s="15"/>
      <c r="M557" s="15"/>
      <c r="N557" s="15"/>
      <c r="O557" s="15"/>
      <c r="P557" s="15"/>
      <c r="Q557" s="15"/>
      <c r="R557" s="15"/>
      <c r="S557" s="15"/>
      <c r="T557" s="15"/>
      <c r="U557" s="15"/>
      <c r="V557" s="15"/>
      <c r="W557" s="15"/>
      <c r="X557" s="15"/>
      <c r="Y557" s="15"/>
      <c r="Z557" s="15"/>
    </row>
    <row r="558" ht="12.75" customHeight="1">
      <c r="A558" s="37" t="str">
        <f t="shared" si="4"/>
        <v/>
      </c>
      <c r="B558" s="158" t="s">
        <v>1495</v>
      </c>
      <c r="C558" s="154"/>
      <c r="D558" s="154"/>
      <c r="E558" s="154"/>
      <c r="F558" s="154"/>
      <c r="G558" s="154"/>
      <c r="H558" s="154"/>
      <c r="I558" s="154"/>
      <c r="J558" s="154"/>
      <c r="K558" s="155"/>
      <c r="L558" s="15"/>
      <c r="M558" s="15"/>
      <c r="N558" s="15"/>
      <c r="O558" s="15"/>
      <c r="P558" s="15"/>
      <c r="Q558" s="15"/>
      <c r="R558" s="15"/>
      <c r="S558" s="15"/>
      <c r="T558" s="15"/>
      <c r="U558" s="15"/>
      <c r="V558" s="15"/>
      <c r="W558" s="15"/>
      <c r="X558" s="15"/>
      <c r="Y558" s="15"/>
      <c r="Z558" s="15"/>
    </row>
    <row r="559" ht="12.75" customHeight="1">
      <c r="A559" s="37" t="str">
        <f t="shared" si="4"/>
        <v>ST_493</v>
      </c>
      <c r="B559" s="117" t="s">
        <v>35</v>
      </c>
      <c r="C559" s="141" t="s">
        <v>37</v>
      </c>
      <c r="D559" s="141" t="s">
        <v>1496</v>
      </c>
      <c r="E559" s="117" t="s">
        <v>671</v>
      </c>
      <c r="F559" s="141" t="s">
        <v>1497</v>
      </c>
      <c r="G559" s="162" t="s">
        <v>1498</v>
      </c>
      <c r="H559" s="157" t="s">
        <v>1499</v>
      </c>
      <c r="I559" s="148"/>
      <c r="J559" s="149"/>
      <c r="K559" s="149"/>
      <c r="L559" s="15"/>
      <c r="M559" s="15"/>
      <c r="N559" s="15"/>
      <c r="O559" s="15"/>
      <c r="P559" s="15"/>
      <c r="Q559" s="15"/>
      <c r="R559" s="15"/>
      <c r="S559" s="15"/>
      <c r="T559" s="15"/>
      <c r="U559" s="15"/>
      <c r="V559" s="15"/>
      <c r="W559" s="15"/>
      <c r="X559" s="15"/>
      <c r="Y559" s="15"/>
      <c r="Z559" s="15"/>
    </row>
    <row r="560" ht="12.75" customHeight="1">
      <c r="A560" s="37" t="str">
        <f t="shared" si="4"/>
        <v>ST_494</v>
      </c>
      <c r="B560" s="117" t="s">
        <v>35</v>
      </c>
      <c r="C560" s="141" t="s">
        <v>172</v>
      </c>
      <c r="D560" s="141" t="s">
        <v>1500</v>
      </c>
      <c r="E560" s="141" t="s">
        <v>1501</v>
      </c>
      <c r="F560" s="141" t="s">
        <v>1502</v>
      </c>
      <c r="G560" s="162" t="s">
        <v>1503</v>
      </c>
      <c r="H560" s="157" t="s">
        <v>1504</v>
      </c>
      <c r="I560" s="148"/>
      <c r="J560" s="149"/>
      <c r="K560" s="149"/>
      <c r="L560" s="7"/>
      <c r="M560" s="7"/>
      <c r="N560" s="7"/>
      <c r="O560" s="7"/>
      <c r="P560" s="7"/>
      <c r="Q560" s="7"/>
      <c r="R560" s="7"/>
      <c r="S560" s="7"/>
      <c r="T560" s="7"/>
      <c r="U560" s="7"/>
      <c r="V560" s="7"/>
      <c r="W560" s="7"/>
      <c r="X560" s="7"/>
      <c r="Y560" s="7"/>
      <c r="Z560" s="7"/>
    </row>
    <row r="561" ht="12.75" customHeight="1">
      <c r="A561" s="37" t="str">
        <f t="shared" si="4"/>
        <v>ST_495</v>
      </c>
      <c r="B561" s="141" t="s">
        <v>842</v>
      </c>
      <c r="C561" s="141" t="s">
        <v>189</v>
      </c>
      <c r="D561" s="141" t="s">
        <v>1505</v>
      </c>
      <c r="E561" s="141" t="s">
        <v>1506</v>
      </c>
      <c r="F561" s="141" t="s">
        <v>1507</v>
      </c>
      <c r="G561" s="162" t="s">
        <v>1508</v>
      </c>
      <c r="H561" s="157" t="s">
        <v>1509</v>
      </c>
      <c r="I561" s="148"/>
      <c r="J561" s="149"/>
      <c r="K561" s="149"/>
      <c r="L561" s="7"/>
      <c r="M561" s="7"/>
      <c r="N561" s="7"/>
      <c r="O561" s="7"/>
      <c r="P561" s="7"/>
      <c r="Q561" s="7"/>
      <c r="R561" s="7"/>
      <c r="S561" s="7"/>
      <c r="T561" s="7"/>
      <c r="U561" s="7"/>
      <c r="V561" s="7"/>
      <c r="W561" s="7"/>
      <c r="X561" s="7"/>
      <c r="Y561" s="7"/>
      <c r="Z561" s="7"/>
    </row>
    <row r="562" ht="12.75" customHeight="1">
      <c r="A562" s="163"/>
      <c r="B562" s="7"/>
      <c r="C562" s="7"/>
      <c r="D562" s="7"/>
      <c r="E562" s="7"/>
      <c r="F562" s="7"/>
      <c r="G562" s="7"/>
      <c r="H562" s="7"/>
      <c r="J562" s="7"/>
      <c r="N562" s="7"/>
      <c r="O562" s="7"/>
      <c r="P562" s="7"/>
      <c r="Q562" s="7"/>
      <c r="R562" s="7"/>
      <c r="S562" s="7"/>
      <c r="T562" s="7"/>
      <c r="U562" s="7"/>
      <c r="V562" s="7"/>
      <c r="W562" s="7"/>
      <c r="X562" s="7"/>
      <c r="Y562" s="7"/>
      <c r="Z562" s="7"/>
    </row>
    <row r="563" ht="12.75" customHeight="1">
      <c r="A563" s="163"/>
      <c r="B563" s="7"/>
      <c r="C563" s="7"/>
      <c r="D563" s="7"/>
      <c r="E563" s="7"/>
      <c r="F563" s="7"/>
      <c r="G563" s="7"/>
      <c r="J563" s="7"/>
      <c r="N563" s="7"/>
      <c r="O563" s="7"/>
      <c r="P563" s="7"/>
      <c r="Q563" s="7"/>
      <c r="R563" s="7"/>
      <c r="S563" s="7"/>
      <c r="T563" s="7"/>
      <c r="U563" s="7"/>
      <c r="V563" s="7"/>
      <c r="W563" s="7"/>
      <c r="X563" s="7"/>
      <c r="Y563" s="7"/>
      <c r="Z563" s="7"/>
    </row>
    <row r="564" ht="12.75" customHeight="1">
      <c r="A564" s="163"/>
      <c r="B564" s="7"/>
      <c r="C564" s="7"/>
      <c r="D564" s="7"/>
      <c r="E564" s="7"/>
      <c r="F564" s="7"/>
      <c r="G564" s="7"/>
      <c r="I564" s="7"/>
      <c r="J564" s="7"/>
      <c r="K564" s="7"/>
      <c r="L564" s="7"/>
      <c r="M564" s="7"/>
      <c r="N564" s="7"/>
      <c r="O564" s="7"/>
      <c r="P564" s="7"/>
      <c r="Q564" s="7"/>
      <c r="R564" s="7"/>
      <c r="S564" s="7"/>
      <c r="T564" s="7"/>
      <c r="U564" s="7"/>
      <c r="V564" s="7"/>
      <c r="W564" s="7"/>
      <c r="X564" s="7"/>
      <c r="Y564" s="7"/>
      <c r="Z564" s="7"/>
    </row>
    <row r="565" ht="12.75" customHeight="1">
      <c r="A565" s="163"/>
      <c r="B565" s="7"/>
      <c r="C565" s="7"/>
      <c r="D565" s="7"/>
      <c r="E565" s="7"/>
      <c r="F565" s="7"/>
      <c r="G565" s="7"/>
      <c r="I565" s="7"/>
      <c r="K565" s="7"/>
      <c r="L565" s="7"/>
      <c r="M565" s="7"/>
      <c r="N565" s="7"/>
      <c r="O565" s="7"/>
      <c r="P565" s="7"/>
      <c r="Q565" s="7"/>
      <c r="R565" s="7"/>
      <c r="S565" s="7"/>
      <c r="T565" s="7"/>
      <c r="U565" s="7"/>
      <c r="V565" s="7"/>
      <c r="W565" s="7"/>
      <c r="X565" s="7"/>
      <c r="Y565" s="7"/>
      <c r="Z565" s="7"/>
    </row>
    <row r="566" ht="12.75" customHeight="1">
      <c r="A566" s="163"/>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163"/>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163"/>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163"/>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163"/>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163"/>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163"/>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163"/>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163"/>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163"/>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163"/>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163"/>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163"/>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163"/>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163"/>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163"/>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163"/>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163"/>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163"/>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163"/>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163"/>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163"/>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163"/>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163"/>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163"/>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163"/>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163"/>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163"/>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163"/>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163"/>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163"/>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163"/>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163"/>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163"/>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163"/>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163"/>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163"/>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163"/>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163"/>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163"/>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163"/>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163"/>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163"/>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163"/>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163"/>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163"/>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163"/>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163"/>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163"/>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163"/>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163"/>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163"/>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163"/>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163"/>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163"/>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163"/>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163"/>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163"/>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163"/>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163"/>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163"/>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163"/>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163"/>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163"/>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163"/>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163"/>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163"/>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163"/>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163"/>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163"/>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163"/>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163"/>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163"/>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163"/>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163"/>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163"/>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163"/>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163"/>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163"/>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163"/>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163"/>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163"/>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163"/>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163"/>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163"/>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163"/>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163"/>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163"/>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163"/>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163"/>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163"/>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163"/>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163"/>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163"/>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163"/>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163"/>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163"/>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163"/>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163"/>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163"/>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163"/>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163"/>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163"/>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163"/>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163"/>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163"/>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163"/>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163"/>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163"/>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163"/>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163"/>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163"/>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163"/>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163"/>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163"/>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163"/>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163"/>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163"/>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163"/>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163"/>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163"/>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163"/>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163"/>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163"/>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163"/>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163"/>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163"/>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163"/>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163"/>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163"/>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163"/>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163"/>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163"/>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163"/>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163"/>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163"/>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163"/>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163"/>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163"/>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163"/>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163"/>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163"/>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163"/>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163"/>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163"/>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163"/>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163"/>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163"/>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163"/>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163"/>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163"/>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163"/>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163"/>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163"/>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163"/>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163"/>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163"/>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163"/>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163"/>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163"/>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163"/>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163"/>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163"/>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163"/>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163"/>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163"/>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163"/>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163"/>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163"/>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163"/>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163"/>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163"/>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163"/>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163"/>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163"/>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163"/>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163"/>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163"/>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163"/>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163"/>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163"/>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163"/>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163"/>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163"/>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163"/>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163"/>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163"/>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163"/>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163"/>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163"/>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163"/>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163"/>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163"/>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163"/>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163"/>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163"/>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163"/>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163"/>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163"/>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163"/>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163"/>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163"/>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163"/>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163"/>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163"/>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163"/>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163"/>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163"/>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163"/>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163"/>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163"/>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163"/>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163"/>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163"/>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163"/>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163"/>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163"/>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163"/>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163"/>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163"/>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163"/>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163"/>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163"/>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163"/>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163"/>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163"/>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163"/>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163"/>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163"/>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163"/>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163"/>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163"/>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163"/>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163"/>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163"/>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163"/>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163"/>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163"/>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163"/>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163"/>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163"/>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163"/>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163"/>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163"/>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163"/>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163"/>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163"/>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163"/>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163"/>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163"/>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163"/>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163"/>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163"/>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163"/>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163"/>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163"/>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163"/>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163"/>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163"/>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163"/>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163"/>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163"/>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163"/>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163"/>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163"/>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163"/>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163"/>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163"/>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163"/>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163"/>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163"/>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163"/>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163"/>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163"/>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163"/>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163"/>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163"/>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163"/>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163"/>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163"/>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163"/>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163"/>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163"/>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163"/>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163"/>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163"/>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163"/>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163"/>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163"/>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163"/>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163"/>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163"/>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163"/>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163"/>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163"/>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163"/>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163"/>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163"/>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163"/>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163"/>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163"/>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163"/>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163"/>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163"/>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163"/>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163"/>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163"/>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163"/>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163"/>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163"/>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163"/>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163"/>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163"/>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163"/>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163"/>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163"/>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163"/>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163"/>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163"/>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163"/>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163"/>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163"/>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163"/>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163"/>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163"/>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163"/>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163"/>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163"/>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163"/>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163"/>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163"/>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163"/>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163"/>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163"/>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163"/>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163"/>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163"/>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163"/>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163"/>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163"/>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163"/>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163"/>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163"/>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163"/>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163"/>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163"/>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163"/>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163"/>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163"/>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163"/>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163"/>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163"/>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163"/>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163"/>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163"/>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163"/>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163"/>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163"/>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163"/>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163"/>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163"/>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163"/>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163"/>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163"/>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163"/>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163"/>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163"/>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163"/>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163"/>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163"/>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163"/>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163"/>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163"/>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163"/>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163"/>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163"/>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163"/>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163"/>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163"/>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163"/>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163"/>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163"/>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163"/>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163"/>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163"/>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163"/>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163"/>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163"/>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163"/>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163"/>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163"/>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163"/>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163"/>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163"/>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163"/>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163"/>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163"/>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163"/>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163"/>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163"/>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163"/>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163"/>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163"/>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163"/>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163"/>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163"/>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163"/>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163"/>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163"/>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163"/>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163"/>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163"/>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163"/>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163"/>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163"/>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163"/>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163"/>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163"/>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163"/>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163"/>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163"/>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163"/>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163"/>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163"/>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163"/>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163"/>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163"/>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163"/>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163"/>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163"/>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163"/>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163"/>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163"/>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163"/>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163"/>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ht="12.75" customHeight="1">
      <c r="A1001" s="163"/>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ht="12.75" customHeight="1">
      <c r="A1002" s="163"/>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ht="12.75" customHeight="1">
      <c r="A1003" s="163"/>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ht="12.75" customHeight="1">
      <c r="A1004" s="163"/>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ht="12.75" customHeight="1">
      <c r="A1005" s="163"/>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sheetData>
  <mergeCells count="531">
    <mergeCell ref="D416:D417"/>
    <mergeCell ref="E416:E417"/>
    <mergeCell ref="B415:H415"/>
    <mergeCell ref="F420:F422"/>
    <mergeCell ref="E420:E422"/>
    <mergeCell ref="D420:D422"/>
    <mergeCell ref="D409:D412"/>
    <mergeCell ref="F405:F407"/>
    <mergeCell ref="E409:E412"/>
    <mergeCell ref="F409:F412"/>
    <mergeCell ref="E405:E407"/>
    <mergeCell ref="F416:F417"/>
    <mergeCell ref="F490:F493"/>
    <mergeCell ref="F494:F495"/>
    <mergeCell ref="F509:F512"/>
    <mergeCell ref="F507:F508"/>
    <mergeCell ref="F501:F502"/>
    <mergeCell ref="E490:E491"/>
    <mergeCell ref="F488:F489"/>
    <mergeCell ref="E488:E489"/>
    <mergeCell ref="C494:C495"/>
    <mergeCell ref="C490:C493"/>
    <mergeCell ref="C509:C512"/>
    <mergeCell ref="C507:C508"/>
    <mergeCell ref="C501:C502"/>
    <mergeCell ref="C488:C489"/>
    <mergeCell ref="C497:C498"/>
    <mergeCell ref="D497:D498"/>
    <mergeCell ref="E497:E498"/>
    <mergeCell ref="F497:F498"/>
    <mergeCell ref="E492:E493"/>
    <mergeCell ref="E494:E495"/>
    <mergeCell ref="D501:D502"/>
    <mergeCell ref="E501:E502"/>
    <mergeCell ref="D494:D495"/>
    <mergeCell ref="D490:D493"/>
    <mergeCell ref="D509:D512"/>
    <mergeCell ref="E509:E510"/>
    <mergeCell ref="E511:E512"/>
    <mergeCell ref="E507:E508"/>
    <mergeCell ref="D507:D508"/>
    <mergeCell ref="F433:F436"/>
    <mergeCell ref="F442:F443"/>
    <mergeCell ref="F429:F431"/>
    <mergeCell ref="E429:E431"/>
    <mergeCell ref="E433:E436"/>
    <mergeCell ref="E442:E443"/>
    <mergeCell ref="D426:D428"/>
    <mergeCell ref="E426:E428"/>
    <mergeCell ref="C451:C452"/>
    <mergeCell ref="C449:C450"/>
    <mergeCell ref="F426:F428"/>
    <mergeCell ref="F451:F452"/>
    <mergeCell ref="F449:F450"/>
    <mergeCell ref="E451:E452"/>
    <mergeCell ref="E449:E450"/>
    <mergeCell ref="E460:E461"/>
    <mergeCell ref="E396:E398"/>
    <mergeCell ref="E402:E404"/>
    <mergeCell ref="E346:E347"/>
    <mergeCell ref="E365:E366"/>
    <mergeCell ref="C335:C337"/>
    <mergeCell ref="D335:D337"/>
    <mergeCell ref="D365:D366"/>
    <mergeCell ref="E369:E370"/>
    <mergeCell ref="C346:C347"/>
    <mergeCell ref="D464:D465"/>
    <mergeCell ref="E464:E465"/>
    <mergeCell ref="E473:E474"/>
    <mergeCell ref="C433:C436"/>
    <mergeCell ref="D402:D404"/>
    <mergeCell ref="D346:D347"/>
    <mergeCell ref="D473:D474"/>
    <mergeCell ref="C471:C472"/>
    <mergeCell ref="C473:C474"/>
    <mergeCell ref="E379:E381"/>
    <mergeCell ref="D386:D389"/>
    <mergeCell ref="D382:D384"/>
    <mergeCell ref="D379:D381"/>
    <mergeCell ref="E382:E384"/>
    <mergeCell ref="C464:C465"/>
    <mergeCell ref="C442:C443"/>
    <mergeCell ref="E453:E454"/>
    <mergeCell ref="D456:D457"/>
    <mergeCell ref="D442:D443"/>
    <mergeCell ref="D429:D431"/>
    <mergeCell ref="D433:D436"/>
    <mergeCell ref="D392:D393"/>
    <mergeCell ref="D396:D398"/>
    <mergeCell ref="D449:D450"/>
    <mergeCell ref="D451:D452"/>
    <mergeCell ref="F369:F370"/>
    <mergeCell ref="D369:D370"/>
    <mergeCell ref="B354:H354"/>
    <mergeCell ref="D373:D375"/>
    <mergeCell ref="E373:E375"/>
    <mergeCell ref="F373:F375"/>
    <mergeCell ref="F379:F381"/>
    <mergeCell ref="F382:F384"/>
    <mergeCell ref="F365:F366"/>
    <mergeCell ref="F346:F347"/>
    <mergeCell ref="D471:D472"/>
    <mergeCell ref="E471:E472"/>
    <mergeCell ref="C475:C476"/>
    <mergeCell ref="C478:C479"/>
    <mergeCell ref="C482:C483"/>
    <mergeCell ref="D460:D461"/>
    <mergeCell ref="C460:C461"/>
    <mergeCell ref="C456:C457"/>
    <mergeCell ref="C453:C454"/>
    <mergeCell ref="D453:D454"/>
    <mergeCell ref="D475:D476"/>
    <mergeCell ref="D478:D479"/>
    <mergeCell ref="D482:D483"/>
    <mergeCell ref="E482:E483"/>
    <mergeCell ref="E475:E476"/>
    <mergeCell ref="E478:E479"/>
    <mergeCell ref="D488:D489"/>
    <mergeCell ref="D405:D407"/>
    <mergeCell ref="E386:E389"/>
    <mergeCell ref="E392:E393"/>
    <mergeCell ref="F396:F398"/>
    <mergeCell ref="F386:F389"/>
    <mergeCell ref="F392:F393"/>
    <mergeCell ref="F402:F404"/>
    <mergeCell ref="F453:F454"/>
    <mergeCell ref="F456:F457"/>
    <mergeCell ref="E456:E457"/>
    <mergeCell ref="F335:F337"/>
    <mergeCell ref="E335:E337"/>
    <mergeCell ref="B497:B498"/>
    <mergeCell ref="B501:B502"/>
    <mergeCell ref="B482:B483"/>
    <mergeCell ref="B490:B493"/>
    <mergeCell ref="B488:B489"/>
    <mergeCell ref="B494:B495"/>
    <mergeCell ref="C520:C521"/>
    <mergeCell ref="C515:C516"/>
    <mergeCell ref="B515:B516"/>
    <mergeCell ref="B509:B512"/>
    <mergeCell ref="B507:B508"/>
    <mergeCell ref="E513:E514"/>
    <mergeCell ref="F513:F514"/>
    <mergeCell ref="C513:C514"/>
    <mergeCell ref="B513:B514"/>
    <mergeCell ref="D513:D514"/>
    <mergeCell ref="C554:C555"/>
    <mergeCell ref="E554:E555"/>
    <mergeCell ref="F554:F555"/>
    <mergeCell ref="D554:D555"/>
    <mergeCell ref="B520:B521"/>
    <mergeCell ref="B523:B524"/>
    <mergeCell ref="B540:B541"/>
    <mergeCell ref="B535:B537"/>
    <mergeCell ref="C540:C541"/>
    <mergeCell ref="C523:C524"/>
    <mergeCell ref="B554:B555"/>
    <mergeCell ref="B518:B519"/>
    <mergeCell ref="C518:C519"/>
    <mergeCell ref="D520:D521"/>
    <mergeCell ref="E520:E521"/>
    <mergeCell ref="E518:E519"/>
    <mergeCell ref="F518:F519"/>
    <mergeCell ref="D518:D519"/>
    <mergeCell ref="D515:D516"/>
    <mergeCell ref="E515:E516"/>
    <mergeCell ref="F515:F516"/>
    <mergeCell ref="D523:D524"/>
    <mergeCell ref="E523:E524"/>
    <mergeCell ref="F523:F524"/>
    <mergeCell ref="F540:F541"/>
    <mergeCell ref="E540:E541"/>
    <mergeCell ref="D540:D541"/>
    <mergeCell ref="F520:F521"/>
    <mergeCell ref="C195:C196"/>
    <mergeCell ref="B195:B196"/>
    <mergeCell ref="F195:F196"/>
    <mergeCell ref="F192:F193"/>
    <mergeCell ref="D192:D193"/>
    <mergeCell ref="E195:E196"/>
    <mergeCell ref="D195:D196"/>
    <mergeCell ref="F243:F245"/>
    <mergeCell ref="F258:F259"/>
    <mergeCell ref="F253:F254"/>
    <mergeCell ref="B266:H266"/>
    <mergeCell ref="F142:F146"/>
    <mergeCell ref="E142:E146"/>
    <mergeCell ref="F147:F150"/>
    <mergeCell ref="D142:D146"/>
    <mergeCell ref="E173:E174"/>
    <mergeCell ref="F173:F174"/>
    <mergeCell ref="E176:E177"/>
    <mergeCell ref="D176:D177"/>
    <mergeCell ref="F219:F220"/>
    <mergeCell ref="E219:E220"/>
    <mergeCell ref="D211:D213"/>
    <mergeCell ref="E236:E240"/>
    <mergeCell ref="D236:D240"/>
    <mergeCell ref="F236:F240"/>
    <mergeCell ref="D243:D245"/>
    <mergeCell ref="D253:D254"/>
    <mergeCell ref="D258:D259"/>
    <mergeCell ref="E243:E245"/>
    <mergeCell ref="E253:E254"/>
    <mergeCell ref="D232:D234"/>
    <mergeCell ref="C176:C177"/>
    <mergeCell ref="B176:B177"/>
    <mergeCell ref="C147:C150"/>
    <mergeCell ref="B147:B150"/>
    <mergeCell ref="B142:B146"/>
    <mergeCell ref="B192:B193"/>
    <mergeCell ref="C142:C146"/>
    <mergeCell ref="C192:C193"/>
    <mergeCell ref="E192:E193"/>
    <mergeCell ref="B202:H202"/>
    <mergeCell ref="B203:H203"/>
    <mergeCell ref="B207:H207"/>
    <mergeCell ref="B214:H214"/>
    <mergeCell ref="B181:K181"/>
    <mergeCell ref="B200:H200"/>
    <mergeCell ref="D156:D157"/>
    <mergeCell ref="B155:H155"/>
    <mergeCell ref="D130:D134"/>
    <mergeCell ref="E130:E134"/>
    <mergeCell ref="E135:E136"/>
    <mergeCell ref="F130:F134"/>
    <mergeCell ref="B130:B134"/>
    <mergeCell ref="C130:C134"/>
    <mergeCell ref="E156:E157"/>
    <mergeCell ref="F156:F157"/>
    <mergeCell ref="D135:D138"/>
    <mergeCell ref="B141:H141"/>
    <mergeCell ref="B162:H162"/>
    <mergeCell ref="F135:F138"/>
    <mergeCell ref="B129:H129"/>
    <mergeCell ref="F121:F125"/>
    <mergeCell ref="E108:E109"/>
    <mergeCell ref="E83:E84"/>
    <mergeCell ref="C58:C59"/>
    <mergeCell ref="D58:D59"/>
    <mergeCell ref="B77:H77"/>
    <mergeCell ref="B55:H55"/>
    <mergeCell ref="D69:D70"/>
    <mergeCell ref="D66:D67"/>
    <mergeCell ref="C63:C64"/>
    <mergeCell ref="F63:F64"/>
    <mergeCell ref="F72:F73"/>
    <mergeCell ref="D52:D53"/>
    <mergeCell ref="E58:E59"/>
    <mergeCell ref="D147:D150"/>
    <mergeCell ref="I10:I11"/>
    <mergeCell ref="J10:J11"/>
    <mergeCell ref="K10:K11"/>
    <mergeCell ref="B12:H12"/>
    <mergeCell ref="D33:D37"/>
    <mergeCell ref="E81:E82"/>
    <mergeCell ref="B121:B125"/>
    <mergeCell ref="C106:C107"/>
    <mergeCell ref="B108:B109"/>
    <mergeCell ref="B106:B107"/>
    <mergeCell ref="B118:B119"/>
    <mergeCell ref="C108:C109"/>
    <mergeCell ref="F10:F11"/>
    <mergeCell ref="B10:B11"/>
    <mergeCell ref="D10:D11"/>
    <mergeCell ref="E10:E11"/>
    <mergeCell ref="G1:H1"/>
    <mergeCell ref="H10:H11"/>
    <mergeCell ref="G10:G11"/>
    <mergeCell ref="F23:F24"/>
    <mergeCell ref="E23:E24"/>
    <mergeCell ref="F83:F84"/>
    <mergeCell ref="F81:F82"/>
    <mergeCell ref="F99:F101"/>
    <mergeCell ref="E99:E101"/>
    <mergeCell ref="D108:D109"/>
    <mergeCell ref="D96:D98"/>
    <mergeCell ref="D81:D82"/>
    <mergeCell ref="D83:D85"/>
    <mergeCell ref="F49:F50"/>
    <mergeCell ref="F52:F53"/>
    <mergeCell ref="D106:D107"/>
    <mergeCell ref="F111:F113"/>
    <mergeCell ref="D99:D101"/>
    <mergeCell ref="D93:D94"/>
    <mergeCell ref="F118:F119"/>
    <mergeCell ref="E49:E50"/>
    <mergeCell ref="D49:D50"/>
    <mergeCell ref="F176:F177"/>
    <mergeCell ref="D173:D174"/>
    <mergeCell ref="B33:B37"/>
    <mergeCell ref="B29:B31"/>
    <mergeCell ref="C49:C50"/>
    <mergeCell ref="B58:B59"/>
    <mergeCell ref="D29:D30"/>
    <mergeCell ref="D20:D21"/>
    <mergeCell ref="C20:C21"/>
    <mergeCell ref="F20:F21"/>
    <mergeCell ref="E20:E21"/>
    <mergeCell ref="E147:E148"/>
    <mergeCell ref="E118:E119"/>
    <mergeCell ref="E123:E124"/>
    <mergeCell ref="C135:C138"/>
    <mergeCell ref="B135:B138"/>
    <mergeCell ref="F58:F59"/>
    <mergeCell ref="C324:C325"/>
    <mergeCell ref="C332:C334"/>
    <mergeCell ref="C329:C331"/>
    <mergeCell ref="C288:C289"/>
    <mergeCell ref="C270:C281"/>
    <mergeCell ref="C284:C285"/>
    <mergeCell ref="C286:C287"/>
    <mergeCell ref="B335:B337"/>
    <mergeCell ref="B346:B347"/>
    <mergeCell ref="C253:C254"/>
    <mergeCell ref="C267:C269"/>
    <mergeCell ref="C258:C259"/>
    <mergeCell ref="C260:C261"/>
    <mergeCell ref="C262:C264"/>
    <mergeCell ref="C311:C313"/>
    <mergeCell ref="C309:C310"/>
    <mergeCell ref="B365:B366"/>
    <mergeCell ref="B324:B325"/>
    <mergeCell ref="C314:C316"/>
    <mergeCell ref="C299:C301"/>
    <mergeCell ref="B253:B254"/>
    <mergeCell ref="B314:B316"/>
    <mergeCell ref="C365:C366"/>
    <mergeCell ref="B478:B479"/>
    <mergeCell ref="B453:B454"/>
    <mergeCell ref="B456:B457"/>
    <mergeCell ref="B451:B452"/>
    <mergeCell ref="B449:B450"/>
    <mergeCell ref="B433:B436"/>
    <mergeCell ref="B442:B443"/>
    <mergeCell ref="B416:B417"/>
    <mergeCell ref="C416:C417"/>
    <mergeCell ref="C409:C412"/>
    <mergeCell ref="C420:C422"/>
    <mergeCell ref="C429:C431"/>
    <mergeCell ref="C402:C404"/>
    <mergeCell ref="C405:C407"/>
    <mergeCell ref="C426:C428"/>
    <mergeCell ref="B409:B412"/>
    <mergeCell ref="B420:B422"/>
    <mergeCell ref="B429:B431"/>
    <mergeCell ref="B426:B428"/>
    <mergeCell ref="B173:B174"/>
    <mergeCell ref="C173:C174"/>
    <mergeCell ref="C156:C157"/>
    <mergeCell ref="B156:B157"/>
    <mergeCell ref="B396:B398"/>
    <mergeCell ref="B402:B404"/>
    <mergeCell ref="B379:B381"/>
    <mergeCell ref="B369:B370"/>
    <mergeCell ref="B373:B375"/>
    <mergeCell ref="B392:B393"/>
    <mergeCell ref="B405:B407"/>
    <mergeCell ref="C379:C381"/>
    <mergeCell ref="C382:C384"/>
    <mergeCell ref="B382:B384"/>
    <mergeCell ref="B386:B389"/>
    <mergeCell ref="C392:C393"/>
    <mergeCell ref="C386:C389"/>
    <mergeCell ref="C396:C398"/>
    <mergeCell ref="C373:C375"/>
    <mergeCell ref="C369:C370"/>
    <mergeCell ref="E288:E289"/>
    <mergeCell ref="D290:D291"/>
    <mergeCell ref="B284:B285"/>
    <mergeCell ref="B286:B287"/>
    <mergeCell ref="B288:B289"/>
    <mergeCell ref="B294:B296"/>
    <mergeCell ref="B299:B301"/>
    <mergeCell ref="E299:E301"/>
    <mergeCell ref="E284:E285"/>
    <mergeCell ref="D299:D301"/>
    <mergeCell ref="D288:D289"/>
    <mergeCell ref="D292:D293"/>
    <mergeCell ref="B292:B293"/>
    <mergeCell ref="F292:F293"/>
    <mergeCell ref="F290:F291"/>
    <mergeCell ref="F288:F289"/>
    <mergeCell ref="F299:F301"/>
    <mergeCell ref="F294:F296"/>
    <mergeCell ref="B308:H308"/>
    <mergeCell ref="F332:F334"/>
    <mergeCell ref="F329:F331"/>
    <mergeCell ref="E258:E259"/>
    <mergeCell ref="F270:F281"/>
    <mergeCell ref="E267:E269"/>
    <mergeCell ref="E270:E279"/>
    <mergeCell ref="F262:F264"/>
    <mergeCell ref="F267:F269"/>
    <mergeCell ref="F260:F261"/>
    <mergeCell ref="E260:E261"/>
    <mergeCell ref="F286:F287"/>
    <mergeCell ref="E286:E287"/>
    <mergeCell ref="F284:F285"/>
    <mergeCell ref="B270:B281"/>
    <mergeCell ref="D267:D269"/>
    <mergeCell ref="D260:D261"/>
    <mergeCell ref="D262:D264"/>
    <mergeCell ref="D270:D281"/>
    <mergeCell ref="E332:E334"/>
    <mergeCell ref="D332:D334"/>
    <mergeCell ref="D329:D331"/>
    <mergeCell ref="D284:D285"/>
    <mergeCell ref="D286:D287"/>
    <mergeCell ref="E294:E296"/>
    <mergeCell ref="D294:D296"/>
    <mergeCell ref="B329:B331"/>
    <mergeCell ref="B332:B334"/>
    <mergeCell ref="C294:C296"/>
    <mergeCell ref="C292:C293"/>
    <mergeCell ref="B258:B259"/>
    <mergeCell ref="B260:B261"/>
    <mergeCell ref="B227:B228"/>
    <mergeCell ref="B243:B245"/>
    <mergeCell ref="B232:B234"/>
    <mergeCell ref="B236:B240"/>
    <mergeCell ref="B219:B220"/>
    <mergeCell ref="C219:C220"/>
    <mergeCell ref="C232:C234"/>
    <mergeCell ref="C243:C245"/>
    <mergeCell ref="C227:C228"/>
    <mergeCell ref="C236:C240"/>
    <mergeCell ref="C290:C291"/>
    <mergeCell ref="B290:B291"/>
    <mergeCell ref="B262:B264"/>
    <mergeCell ref="B267:B269"/>
    <mergeCell ref="F475:F476"/>
    <mergeCell ref="B475:B476"/>
    <mergeCell ref="B464:B465"/>
    <mergeCell ref="B471:B472"/>
    <mergeCell ref="F473:F474"/>
    <mergeCell ref="F471:F472"/>
    <mergeCell ref="F460:F461"/>
    <mergeCell ref="F464:F465"/>
    <mergeCell ref="F478:F479"/>
    <mergeCell ref="F482:F483"/>
    <mergeCell ref="B460:B461"/>
    <mergeCell ref="B473:B474"/>
    <mergeCell ref="E227:E228"/>
    <mergeCell ref="D227:D228"/>
    <mergeCell ref="C211:C213"/>
    <mergeCell ref="B211:B213"/>
    <mergeCell ref="F211:F213"/>
    <mergeCell ref="F227:F228"/>
    <mergeCell ref="E232:E234"/>
    <mergeCell ref="F232:F234"/>
    <mergeCell ref="D219:D220"/>
    <mergeCell ref="E63:E64"/>
    <mergeCell ref="D63:D64"/>
    <mergeCell ref="D26:D27"/>
    <mergeCell ref="F26:F27"/>
    <mergeCell ref="E26:E27"/>
    <mergeCell ref="F33:F37"/>
    <mergeCell ref="E33:E37"/>
    <mergeCell ref="E29:E30"/>
    <mergeCell ref="F29:F30"/>
    <mergeCell ref="E69:E70"/>
    <mergeCell ref="F69:F70"/>
    <mergeCell ref="D44:D45"/>
    <mergeCell ref="D42:D43"/>
    <mergeCell ref="F40:F41"/>
    <mergeCell ref="F44:F45"/>
    <mergeCell ref="E44:E45"/>
    <mergeCell ref="E96:E98"/>
    <mergeCell ref="F96:F98"/>
    <mergeCell ref="F106:F107"/>
    <mergeCell ref="F108:F109"/>
    <mergeCell ref="B93:B94"/>
    <mergeCell ref="B81:B82"/>
    <mergeCell ref="B83:B85"/>
    <mergeCell ref="E93:E94"/>
    <mergeCell ref="E106:E107"/>
    <mergeCell ref="E72:E73"/>
    <mergeCell ref="F93:F94"/>
    <mergeCell ref="D72:D73"/>
    <mergeCell ref="F42:F43"/>
    <mergeCell ref="E42:E43"/>
    <mergeCell ref="C42:C43"/>
    <mergeCell ref="C44:C45"/>
    <mergeCell ref="B44:B45"/>
    <mergeCell ref="B49:B50"/>
    <mergeCell ref="B42:B43"/>
    <mergeCell ref="E40:E41"/>
    <mergeCell ref="D40:D41"/>
    <mergeCell ref="F66:F67"/>
    <mergeCell ref="E66:E67"/>
    <mergeCell ref="C118:C119"/>
    <mergeCell ref="D118:D119"/>
    <mergeCell ref="C123:C124"/>
    <mergeCell ref="B99:B101"/>
    <mergeCell ref="B96:B98"/>
    <mergeCell ref="C96:C98"/>
    <mergeCell ref="C93:C94"/>
    <mergeCell ref="C99:C101"/>
    <mergeCell ref="D121:D125"/>
    <mergeCell ref="D111:D113"/>
    <mergeCell ref="C33:C37"/>
    <mergeCell ref="C29:C30"/>
    <mergeCell ref="C26:C27"/>
    <mergeCell ref="C10:C11"/>
    <mergeCell ref="C23:C24"/>
    <mergeCell ref="B26:B28"/>
    <mergeCell ref="B20:B21"/>
    <mergeCell ref="B23:B24"/>
    <mergeCell ref="A10:A11"/>
    <mergeCell ref="C81:C82"/>
    <mergeCell ref="C83:C85"/>
    <mergeCell ref="C72:C73"/>
    <mergeCell ref="B40:B41"/>
    <mergeCell ref="C40:C41"/>
    <mergeCell ref="C66:C67"/>
    <mergeCell ref="C69:C70"/>
    <mergeCell ref="E311:E313"/>
    <mergeCell ref="E309:E310"/>
    <mergeCell ref="F314:F315"/>
    <mergeCell ref="E314:E316"/>
    <mergeCell ref="F309:F310"/>
    <mergeCell ref="D309:D310"/>
    <mergeCell ref="B311:B313"/>
    <mergeCell ref="B309:B310"/>
    <mergeCell ref="F311:F312"/>
    <mergeCell ref="F324:F325"/>
    <mergeCell ref="E324:E325"/>
    <mergeCell ref="D324:D325"/>
    <mergeCell ref="D314:D316"/>
    <mergeCell ref="D311:D313"/>
  </mergeCells>
  <conditionalFormatting sqref="I1:I12 I14:I31 I33:I45 I47:I54 I56 I58:I67 I69:I70 I75:I76 I101:I102 I129:I139 I159:I161 I205:I206 I208 I210:I213 I215:I216 I558:I559 I561">
    <cfRule type="cellIs" dxfId="0" priority="1" stopIfTrue="1" operator="equal">
      <formula>"P"</formula>
    </cfRule>
  </conditionalFormatting>
  <conditionalFormatting sqref="I1:I12 I14:I31 I33:I45 I47:I54 I56 I58:I67 I69:I70 I75:I76 I101:I102 I129:I139 I159:I161 I205:I206 I208 I210:I213 I215:I216 I558:I559 I561">
    <cfRule type="cellIs" dxfId="1" priority="2" stopIfTrue="1" operator="equal">
      <formula>"F"</formula>
    </cfRule>
  </conditionalFormatting>
  <conditionalFormatting sqref="I1:I12 I14:I31 I33:I45 I47:I54 I56 I58:I67 I69:I70 I75:I76 I101:I102 I129:I139 I159:I161 I205:I206 I208 I210:I213 I215:I216 I558:I559 I561">
    <cfRule type="cellIs" dxfId="2" priority="3" stopIfTrue="1" operator="equal">
      <formula>"PE"</formula>
    </cfRule>
  </conditionalFormatting>
  <conditionalFormatting sqref="I57">
    <cfRule type="cellIs" dxfId="0" priority="4" stopIfTrue="1" operator="equal">
      <formula>"P"</formula>
    </cfRule>
  </conditionalFormatting>
  <conditionalFormatting sqref="I57">
    <cfRule type="cellIs" dxfId="1" priority="5" stopIfTrue="1" operator="equal">
      <formula>"F"</formula>
    </cfRule>
  </conditionalFormatting>
  <conditionalFormatting sqref="I57">
    <cfRule type="cellIs" dxfId="2" priority="6" stopIfTrue="1" operator="equal">
      <formula>"PE"</formula>
    </cfRule>
  </conditionalFormatting>
  <conditionalFormatting sqref="I68">
    <cfRule type="cellIs" dxfId="0" priority="7" stopIfTrue="1" operator="equal">
      <formula>"P"</formula>
    </cfRule>
  </conditionalFormatting>
  <conditionalFormatting sqref="I68">
    <cfRule type="cellIs" dxfId="1" priority="8" stopIfTrue="1" operator="equal">
      <formula>"F"</formula>
    </cfRule>
  </conditionalFormatting>
  <conditionalFormatting sqref="I68">
    <cfRule type="cellIs" dxfId="2" priority="9" stopIfTrue="1" operator="equal">
      <formula>"PE"</formula>
    </cfRule>
  </conditionalFormatting>
  <conditionalFormatting sqref="I55">
    <cfRule type="cellIs" dxfId="0" priority="10" stopIfTrue="1" operator="equal">
      <formula>"P"</formula>
    </cfRule>
  </conditionalFormatting>
  <conditionalFormatting sqref="I55">
    <cfRule type="cellIs" dxfId="1" priority="11" stopIfTrue="1" operator="equal">
      <formula>"F"</formula>
    </cfRule>
  </conditionalFormatting>
  <conditionalFormatting sqref="I55">
    <cfRule type="cellIs" dxfId="2" priority="12" stopIfTrue="1" operator="equal">
      <formula>"PE"</formula>
    </cfRule>
  </conditionalFormatting>
  <conditionalFormatting sqref="I81">
    <cfRule type="cellIs" dxfId="0" priority="13" stopIfTrue="1" operator="equal">
      <formula>"P"</formula>
    </cfRule>
  </conditionalFormatting>
  <conditionalFormatting sqref="I81">
    <cfRule type="cellIs" dxfId="1" priority="14" stopIfTrue="1" operator="equal">
      <formula>"F"</formula>
    </cfRule>
  </conditionalFormatting>
  <conditionalFormatting sqref="I81">
    <cfRule type="cellIs" dxfId="2" priority="15" stopIfTrue="1" operator="equal">
      <formula>"PE"</formula>
    </cfRule>
  </conditionalFormatting>
  <conditionalFormatting sqref="I82:I85">
    <cfRule type="cellIs" dxfId="0" priority="16" stopIfTrue="1" operator="equal">
      <formula>"P"</formula>
    </cfRule>
  </conditionalFormatting>
  <conditionalFormatting sqref="I82:I85">
    <cfRule type="cellIs" dxfId="1" priority="17" stopIfTrue="1" operator="equal">
      <formula>"F"</formula>
    </cfRule>
  </conditionalFormatting>
  <conditionalFormatting sqref="I82:I85">
    <cfRule type="cellIs" dxfId="2" priority="18" stopIfTrue="1" operator="equal">
      <formula>"PE"</formula>
    </cfRule>
  </conditionalFormatting>
  <conditionalFormatting sqref="I77">
    <cfRule type="cellIs" dxfId="0" priority="19" stopIfTrue="1" operator="equal">
      <formula>"P"</formula>
    </cfRule>
  </conditionalFormatting>
  <conditionalFormatting sqref="I77">
    <cfRule type="cellIs" dxfId="1" priority="20" stopIfTrue="1" operator="equal">
      <formula>"F"</formula>
    </cfRule>
  </conditionalFormatting>
  <conditionalFormatting sqref="I77">
    <cfRule type="cellIs" dxfId="2" priority="21" stopIfTrue="1" operator="equal">
      <formula>"PE"</formula>
    </cfRule>
  </conditionalFormatting>
  <conditionalFormatting sqref="I79:I80">
    <cfRule type="cellIs" dxfId="0" priority="22" stopIfTrue="1" operator="equal">
      <formula>"P"</formula>
    </cfRule>
  </conditionalFormatting>
  <conditionalFormatting sqref="I79:I80">
    <cfRule type="cellIs" dxfId="1" priority="23" stopIfTrue="1" operator="equal">
      <formula>"F"</formula>
    </cfRule>
  </conditionalFormatting>
  <conditionalFormatting sqref="I79:I80">
    <cfRule type="cellIs" dxfId="2" priority="24" stopIfTrue="1" operator="equal">
      <formula>"PE"</formula>
    </cfRule>
  </conditionalFormatting>
  <conditionalFormatting sqref="I72:I74">
    <cfRule type="cellIs" dxfId="0" priority="25" stopIfTrue="1" operator="equal">
      <formula>"P"</formula>
    </cfRule>
  </conditionalFormatting>
  <conditionalFormatting sqref="I72:I74">
    <cfRule type="cellIs" dxfId="1" priority="26" stopIfTrue="1" operator="equal">
      <formula>"F"</formula>
    </cfRule>
  </conditionalFormatting>
  <conditionalFormatting sqref="I72:I74">
    <cfRule type="cellIs" dxfId="2" priority="27" stopIfTrue="1" operator="equal">
      <formula>"PE"</formula>
    </cfRule>
  </conditionalFormatting>
  <conditionalFormatting sqref="I71">
    <cfRule type="cellIs" dxfId="0" priority="28" stopIfTrue="1" operator="equal">
      <formula>"P"</formula>
    </cfRule>
  </conditionalFormatting>
  <conditionalFormatting sqref="I71">
    <cfRule type="cellIs" dxfId="1" priority="29" stopIfTrue="1" operator="equal">
      <formula>"F"</formula>
    </cfRule>
  </conditionalFormatting>
  <conditionalFormatting sqref="I71">
    <cfRule type="cellIs" dxfId="2" priority="30" stopIfTrue="1" operator="equal">
      <formula>"PE"</formula>
    </cfRule>
  </conditionalFormatting>
  <conditionalFormatting sqref="I88 I93:I100 I103 I107:I127">
    <cfRule type="cellIs" dxfId="0" priority="31" stopIfTrue="1" operator="equal">
      <formula>"P"</formula>
    </cfRule>
  </conditionalFormatting>
  <conditionalFormatting sqref="I88 I93:I100 I103 I107:I127">
    <cfRule type="cellIs" dxfId="1" priority="32" stopIfTrue="1" operator="equal">
      <formula>"F"</formula>
    </cfRule>
  </conditionalFormatting>
  <conditionalFormatting sqref="I88 I93:I100 I103 I107:I127">
    <cfRule type="cellIs" dxfId="2" priority="33" stopIfTrue="1" operator="equal">
      <formula>"PE"</formula>
    </cfRule>
  </conditionalFormatting>
  <conditionalFormatting sqref="I87">
    <cfRule type="cellIs" dxfId="0" priority="34" stopIfTrue="1" operator="equal">
      <formula>"P"</formula>
    </cfRule>
  </conditionalFormatting>
  <conditionalFormatting sqref="I87">
    <cfRule type="cellIs" dxfId="1" priority="35" stopIfTrue="1" operator="equal">
      <formula>"F"</formula>
    </cfRule>
  </conditionalFormatting>
  <conditionalFormatting sqref="I87">
    <cfRule type="cellIs" dxfId="2" priority="36" stopIfTrue="1" operator="equal">
      <formula>"PE"</formula>
    </cfRule>
  </conditionalFormatting>
  <conditionalFormatting sqref="I89:I90">
    <cfRule type="cellIs" dxfId="0" priority="37" stopIfTrue="1" operator="equal">
      <formula>"P"</formula>
    </cfRule>
  </conditionalFormatting>
  <conditionalFormatting sqref="I89:I90">
    <cfRule type="cellIs" dxfId="1" priority="38" stopIfTrue="1" operator="equal">
      <formula>"F"</formula>
    </cfRule>
  </conditionalFormatting>
  <conditionalFormatting sqref="I89:I90">
    <cfRule type="cellIs" dxfId="2" priority="39" stopIfTrue="1" operator="equal">
      <formula>"PE"</formula>
    </cfRule>
  </conditionalFormatting>
  <conditionalFormatting sqref="I91">
    <cfRule type="cellIs" dxfId="0" priority="40" stopIfTrue="1" operator="equal">
      <formula>"P"</formula>
    </cfRule>
  </conditionalFormatting>
  <conditionalFormatting sqref="I91">
    <cfRule type="cellIs" dxfId="1" priority="41" stopIfTrue="1" operator="equal">
      <formula>"F"</formula>
    </cfRule>
  </conditionalFormatting>
  <conditionalFormatting sqref="I91">
    <cfRule type="cellIs" dxfId="2" priority="42" stopIfTrue="1" operator="equal">
      <formula>"PE"</formula>
    </cfRule>
  </conditionalFormatting>
  <conditionalFormatting sqref="I92">
    <cfRule type="cellIs" dxfId="0" priority="43" stopIfTrue="1" operator="equal">
      <formula>"P"</formula>
    </cfRule>
  </conditionalFormatting>
  <conditionalFormatting sqref="I92">
    <cfRule type="cellIs" dxfId="1" priority="44" stopIfTrue="1" operator="equal">
      <formula>"F"</formula>
    </cfRule>
  </conditionalFormatting>
  <conditionalFormatting sqref="I92">
    <cfRule type="cellIs" dxfId="2" priority="45" stopIfTrue="1" operator="equal">
      <formula>"PE"</formula>
    </cfRule>
  </conditionalFormatting>
  <conditionalFormatting sqref="I106">
    <cfRule type="cellIs" dxfId="0" priority="46" stopIfTrue="1" operator="equal">
      <formula>"P"</formula>
    </cfRule>
  </conditionalFormatting>
  <conditionalFormatting sqref="I106">
    <cfRule type="cellIs" dxfId="1" priority="47" stopIfTrue="1" operator="equal">
      <formula>"F"</formula>
    </cfRule>
  </conditionalFormatting>
  <conditionalFormatting sqref="I106">
    <cfRule type="cellIs" dxfId="2" priority="48" stopIfTrue="1" operator="equal">
      <formula>"PE"</formula>
    </cfRule>
  </conditionalFormatting>
  <conditionalFormatting sqref="I104:I105">
    <cfRule type="cellIs" dxfId="0" priority="49" stopIfTrue="1" operator="equal">
      <formula>"P"</formula>
    </cfRule>
  </conditionalFormatting>
  <conditionalFormatting sqref="I104:I105">
    <cfRule type="cellIs" dxfId="1" priority="50" stopIfTrue="1" operator="equal">
      <formula>"F"</formula>
    </cfRule>
  </conditionalFormatting>
  <conditionalFormatting sqref="I104:I105">
    <cfRule type="cellIs" dxfId="2" priority="51" stopIfTrue="1" operator="equal">
      <formula>"PE"</formula>
    </cfRule>
  </conditionalFormatting>
  <conditionalFormatting sqref="I155:I157">
    <cfRule type="cellIs" dxfId="0" priority="52" stopIfTrue="1" operator="equal">
      <formula>"P"</formula>
    </cfRule>
  </conditionalFormatting>
  <conditionalFormatting sqref="I155:I157">
    <cfRule type="cellIs" dxfId="1" priority="53" stopIfTrue="1" operator="equal">
      <formula>"F"</formula>
    </cfRule>
  </conditionalFormatting>
  <conditionalFormatting sqref="I155:I157">
    <cfRule type="cellIs" dxfId="2" priority="54" stopIfTrue="1" operator="equal">
      <formula>"PE"</formula>
    </cfRule>
  </conditionalFormatting>
  <conditionalFormatting sqref="I158">
    <cfRule type="cellIs" dxfId="0" priority="55" stopIfTrue="1" operator="equal">
      <formula>"P"</formula>
    </cfRule>
  </conditionalFormatting>
  <conditionalFormatting sqref="I158">
    <cfRule type="cellIs" dxfId="1" priority="56" stopIfTrue="1" operator="equal">
      <formula>"F"</formula>
    </cfRule>
  </conditionalFormatting>
  <conditionalFormatting sqref="I158">
    <cfRule type="cellIs" dxfId="2" priority="57" stopIfTrue="1" operator="equal">
      <formula>"PE"</formula>
    </cfRule>
  </conditionalFormatting>
  <conditionalFormatting sqref="I202:I204">
    <cfRule type="cellIs" dxfId="0" priority="58" stopIfTrue="1" operator="equal">
      <formula>"P"</formula>
    </cfRule>
  </conditionalFormatting>
  <conditionalFormatting sqref="I202:I204">
    <cfRule type="cellIs" dxfId="1" priority="59" stopIfTrue="1" operator="equal">
      <formula>"F"</formula>
    </cfRule>
  </conditionalFormatting>
  <conditionalFormatting sqref="I202:I204">
    <cfRule type="cellIs" dxfId="2" priority="60" stopIfTrue="1" operator="equal">
      <formula>"PE"</formula>
    </cfRule>
  </conditionalFormatting>
  <conditionalFormatting sqref="I209">
    <cfRule type="cellIs" dxfId="0" priority="61" stopIfTrue="1" operator="equal">
      <formula>"P"</formula>
    </cfRule>
  </conditionalFormatting>
  <conditionalFormatting sqref="I209">
    <cfRule type="cellIs" dxfId="1" priority="62" stopIfTrue="1" operator="equal">
      <formula>"F"</formula>
    </cfRule>
  </conditionalFormatting>
  <conditionalFormatting sqref="I209">
    <cfRule type="cellIs" dxfId="2" priority="63" stopIfTrue="1" operator="equal">
      <formula>"PE"</formula>
    </cfRule>
  </conditionalFormatting>
  <conditionalFormatting sqref="I200 I221">
    <cfRule type="cellIs" dxfId="0" priority="64" stopIfTrue="1" operator="equal">
      <formula>"P"</formula>
    </cfRule>
  </conditionalFormatting>
  <conditionalFormatting sqref="I200 I221">
    <cfRule type="cellIs" dxfId="1" priority="65" stopIfTrue="1" operator="equal">
      <formula>"F"</formula>
    </cfRule>
  </conditionalFormatting>
  <conditionalFormatting sqref="I200 I221">
    <cfRule type="cellIs" dxfId="2" priority="66" stopIfTrue="1" operator="equal">
      <formula>"PE"</formula>
    </cfRule>
  </conditionalFormatting>
  <conditionalFormatting sqref="I222:I245 I247:I264 I163:I175 I180 I267:I274 I292:I306 I343:I348 I369:I385 I441:I461 I486:I491 I494:I497 I553:I557">
    <cfRule type="cellIs" dxfId="0" priority="67" stopIfTrue="1" operator="equal">
      <formula>"P"</formula>
    </cfRule>
  </conditionalFormatting>
  <conditionalFormatting sqref="I222:I245 I247:I264 I163:I175 I180 I267:I274 I292:I306 I343:I348 I369:I385 I441:I461 I486:I491 I494:I497 I553:I557">
    <cfRule type="cellIs" dxfId="1" priority="68" stopIfTrue="1" operator="equal">
      <formula>"F"</formula>
    </cfRule>
  </conditionalFormatting>
  <conditionalFormatting sqref="I222:I245 I247:I264 I163:I175 I180 I267:I274 I292:I306 I343:I348 I369:I385 I441:I461 I486:I491 I494:I497 I553:I557">
    <cfRule type="cellIs" dxfId="2" priority="69" stopIfTrue="1" operator="equal">
      <formula>"PE"</formula>
    </cfRule>
  </conditionalFormatting>
  <conditionalFormatting sqref="I246">
    <cfRule type="cellIs" dxfId="0" priority="70" stopIfTrue="1" operator="equal">
      <formula>"P"</formula>
    </cfRule>
  </conditionalFormatting>
  <conditionalFormatting sqref="I246">
    <cfRule type="cellIs" dxfId="1" priority="71" stopIfTrue="1" operator="equal">
      <formula>"F"</formula>
    </cfRule>
  </conditionalFormatting>
  <conditionalFormatting sqref="I246">
    <cfRule type="cellIs" dxfId="2" priority="72" stopIfTrue="1" operator="equal">
      <formula>"PE"</formula>
    </cfRule>
  </conditionalFormatting>
  <conditionalFormatting sqref="I217">
    <cfRule type="cellIs" dxfId="0" priority="73" stopIfTrue="1" operator="equal">
      <formula>"P"</formula>
    </cfRule>
  </conditionalFormatting>
  <conditionalFormatting sqref="I217">
    <cfRule type="cellIs" dxfId="1" priority="74" stopIfTrue="1" operator="equal">
      <formula>"F"</formula>
    </cfRule>
  </conditionalFormatting>
  <conditionalFormatting sqref="I217">
    <cfRule type="cellIs" dxfId="2" priority="75" stopIfTrue="1" operator="equal">
      <formula>"PE"</formula>
    </cfRule>
  </conditionalFormatting>
  <conditionalFormatting sqref="I218:I220 I314:I317">
    <cfRule type="cellIs" dxfId="0" priority="76" stopIfTrue="1" operator="equal">
      <formula>"P"</formula>
    </cfRule>
  </conditionalFormatting>
  <conditionalFormatting sqref="I218:I220 I314:I317">
    <cfRule type="cellIs" dxfId="1" priority="77" stopIfTrue="1" operator="equal">
      <formula>"F"</formula>
    </cfRule>
  </conditionalFormatting>
  <conditionalFormatting sqref="I218:I220 I314:I317">
    <cfRule type="cellIs" dxfId="2" priority="78" stopIfTrue="1" operator="equal">
      <formula>"PE"</formula>
    </cfRule>
  </conditionalFormatting>
  <conditionalFormatting sqref="I307">
    <cfRule type="cellIs" dxfId="0" priority="79" stopIfTrue="1" operator="equal">
      <formula>"P"</formula>
    </cfRule>
  </conditionalFormatting>
  <conditionalFormatting sqref="I307">
    <cfRule type="cellIs" dxfId="1" priority="80" stopIfTrue="1" operator="equal">
      <formula>"F"</formula>
    </cfRule>
  </conditionalFormatting>
  <conditionalFormatting sqref="I307">
    <cfRule type="cellIs" dxfId="2" priority="81" stopIfTrue="1" operator="equal">
      <formula>"PE"</formula>
    </cfRule>
  </conditionalFormatting>
  <conditionalFormatting sqref="I309:I313">
    <cfRule type="cellIs" dxfId="0" priority="82" stopIfTrue="1" operator="equal">
      <formula>"P"</formula>
    </cfRule>
  </conditionalFormatting>
  <conditionalFormatting sqref="I309:I313">
    <cfRule type="cellIs" dxfId="1" priority="83" stopIfTrue="1" operator="equal">
      <formula>"F"</formula>
    </cfRule>
  </conditionalFormatting>
  <conditionalFormatting sqref="I309:I313">
    <cfRule type="cellIs" dxfId="2" priority="84" stopIfTrue="1" operator="equal">
      <formula>"PE"</formula>
    </cfRule>
  </conditionalFormatting>
  <conditionalFormatting sqref="I141 I152:I153">
    <cfRule type="cellIs" dxfId="0" priority="85" stopIfTrue="1" operator="equal">
      <formula>"P"</formula>
    </cfRule>
  </conditionalFormatting>
  <conditionalFormatting sqref="I141 I152:I153">
    <cfRule type="cellIs" dxfId="1" priority="86" stopIfTrue="1" operator="equal">
      <formula>"F"</formula>
    </cfRule>
  </conditionalFormatting>
  <conditionalFormatting sqref="I141 I152:I153">
    <cfRule type="cellIs" dxfId="2" priority="87" stopIfTrue="1" operator="equal">
      <formula>"PE"</formula>
    </cfRule>
  </conditionalFormatting>
  <conditionalFormatting sqref="I142:I151">
    <cfRule type="cellIs" dxfId="0" priority="88" stopIfTrue="1" operator="equal">
      <formula>"P"</formula>
    </cfRule>
  </conditionalFormatting>
  <conditionalFormatting sqref="I142:I151">
    <cfRule type="cellIs" dxfId="1" priority="89" stopIfTrue="1" operator="equal">
      <formula>"F"</formula>
    </cfRule>
  </conditionalFormatting>
  <conditionalFormatting sqref="I142:I151">
    <cfRule type="cellIs" dxfId="2" priority="90" stopIfTrue="1" operator="equal">
      <formula>"PE"</formula>
    </cfRule>
  </conditionalFormatting>
  <conditionalFormatting sqref="I308">
    <cfRule type="cellIs" dxfId="0" priority="91" stopIfTrue="1" operator="equal">
      <formula>"P"</formula>
    </cfRule>
  </conditionalFormatting>
  <conditionalFormatting sqref="I308">
    <cfRule type="cellIs" dxfId="1" priority="92" stopIfTrue="1" operator="equal">
      <formula>"F"</formula>
    </cfRule>
  </conditionalFormatting>
  <conditionalFormatting sqref="I308">
    <cfRule type="cellIs" dxfId="2" priority="93" stopIfTrue="1" operator="equal">
      <formula>"PE"</formula>
    </cfRule>
  </conditionalFormatting>
  <conditionalFormatting sqref="I176:I177">
    <cfRule type="cellIs" dxfId="0" priority="94" stopIfTrue="1" operator="equal">
      <formula>"P"</formula>
    </cfRule>
  </conditionalFormatting>
  <conditionalFormatting sqref="I176:I177">
    <cfRule type="cellIs" dxfId="1" priority="95" stopIfTrue="1" operator="equal">
      <formula>"F"</formula>
    </cfRule>
  </conditionalFormatting>
  <conditionalFormatting sqref="I176:I177">
    <cfRule type="cellIs" dxfId="2" priority="96" stopIfTrue="1" operator="equal">
      <formula>"PE"</formula>
    </cfRule>
  </conditionalFormatting>
  <conditionalFormatting sqref="I178:I179">
    <cfRule type="cellIs" dxfId="0" priority="97" stopIfTrue="1" operator="equal">
      <formula>"P"</formula>
    </cfRule>
  </conditionalFormatting>
  <conditionalFormatting sqref="I178:I179">
    <cfRule type="cellIs" dxfId="1" priority="98" stopIfTrue="1" operator="equal">
      <formula>"F"</formula>
    </cfRule>
  </conditionalFormatting>
  <conditionalFormatting sqref="I178:I179">
    <cfRule type="cellIs" dxfId="2" priority="99" stopIfTrue="1" operator="equal">
      <formula>"PE"</formula>
    </cfRule>
  </conditionalFormatting>
  <conditionalFormatting sqref="I182:I194 I199">
    <cfRule type="cellIs" dxfId="0" priority="100" stopIfTrue="1" operator="equal">
      <formula>"P"</formula>
    </cfRule>
  </conditionalFormatting>
  <conditionalFormatting sqref="I182:I194 I199">
    <cfRule type="cellIs" dxfId="1" priority="101" stopIfTrue="1" operator="equal">
      <formula>"F"</formula>
    </cfRule>
  </conditionalFormatting>
  <conditionalFormatting sqref="I182:I194 I199">
    <cfRule type="cellIs" dxfId="2" priority="102" stopIfTrue="1" operator="equal">
      <formula>"PE"</formula>
    </cfRule>
  </conditionalFormatting>
  <conditionalFormatting sqref="I195:I196">
    <cfRule type="cellIs" dxfId="0" priority="103" stopIfTrue="1" operator="equal">
      <formula>"P"</formula>
    </cfRule>
  </conditionalFormatting>
  <conditionalFormatting sqref="I195:I196">
    <cfRule type="cellIs" dxfId="1" priority="104" stopIfTrue="1" operator="equal">
      <formula>"F"</formula>
    </cfRule>
  </conditionalFormatting>
  <conditionalFormatting sqref="I195:I196">
    <cfRule type="cellIs" dxfId="2" priority="105" stopIfTrue="1" operator="equal">
      <formula>"PE"</formula>
    </cfRule>
  </conditionalFormatting>
  <conditionalFormatting sqref="I197:I198">
    <cfRule type="cellIs" dxfId="0" priority="106" stopIfTrue="1" operator="equal">
      <formula>"P"</formula>
    </cfRule>
  </conditionalFormatting>
  <conditionalFormatting sqref="I197:I198">
    <cfRule type="cellIs" dxfId="1" priority="107" stopIfTrue="1" operator="equal">
      <formula>"F"</formula>
    </cfRule>
  </conditionalFormatting>
  <conditionalFormatting sqref="I197:I198">
    <cfRule type="cellIs" dxfId="2" priority="108" stopIfTrue="1" operator="equal">
      <formula>"PE"</formula>
    </cfRule>
  </conditionalFormatting>
  <conditionalFormatting sqref="I275:I285 I290">
    <cfRule type="cellIs" dxfId="0" priority="109" stopIfTrue="1" operator="equal">
      <formula>"P"</formula>
    </cfRule>
  </conditionalFormatting>
  <conditionalFormatting sqref="I275:I285 I290">
    <cfRule type="cellIs" dxfId="1" priority="110" stopIfTrue="1" operator="equal">
      <formula>"F"</formula>
    </cfRule>
  </conditionalFormatting>
  <conditionalFormatting sqref="I275:I285 I290">
    <cfRule type="cellIs" dxfId="2" priority="111" stopIfTrue="1" operator="equal">
      <formula>"PE"</formula>
    </cfRule>
  </conditionalFormatting>
  <conditionalFormatting sqref="I265">
    <cfRule type="cellIs" dxfId="0" priority="112" stopIfTrue="1" operator="equal">
      <formula>"P"</formula>
    </cfRule>
  </conditionalFormatting>
  <conditionalFormatting sqref="I265">
    <cfRule type="cellIs" dxfId="1" priority="113" stopIfTrue="1" operator="equal">
      <formula>"F"</formula>
    </cfRule>
  </conditionalFormatting>
  <conditionalFormatting sqref="I265">
    <cfRule type="cellIs" dxfId="2" priority="114" stopIfTrue="1" operator="equal">
      <formula>"PE"</formula>
    </cfRule>
  </conditionalFormatting>
  <conditionalFormatting sqref="I266">
    <cfRule type="cellIs" dxfId="0" priority="115" stopIfTrue="1" operator="equal">
      <formula>"P"</formula>
    </cfRule>
  </conditionalFormatting>
  <conditionalFormatting sqref="I266">
    <cfRule type="cellIs" dxfId="1" priority="116" stopIfTrue="1" operator="equal">
      <formula>"F"</formula>
    </cfRule>
  </conditionalFormatting>
  <conditionalFormatting sqref="I266">
    <cfRule type="cellIs" dxfId="2" priority="117" stopIfTrue="1" operator="equal">
      <formula>"PE"</formula>
    </cfRule>
  </conditionalFormatting>
  <conditionalFormatting sqref="I286:I287">
    <cfRule type="cellIs" dxfId="0" priority="118" stopIfTrue="1" operator="equal">
      <formula>"P"</formula>
    </cfRule>
  </conditionalFormatting>
  <conditionalFormatting sqref="I286:I287">
    <cfRule type="cellIs" dxfId="1" priority="119" stopIfTrue="1" operator="equal">
      <formula>"F"</formula>
    </cfRule>
  </conditionalFormatting>
  <conditionalFormatting sqref="I286:I287">
    <cfRule type="cellIs" dxfId="2" priority="120" stopIfTrue="1" operator="equal">
      <formula>"PE"</formula>
    </cfRule>
  </conditionalFormatting>
  <conditionalFormatting sqref="I291">
    <cfRule type="cellIs" dxfId="0" priority="121" stopIfTrue="1" operator="equal">
      <formula>"P"</formula>
    </cfRule>
  </conditionalFormatting>
  <conditionalFormatting sqref="I291">
    <cfRule type="cellIs" dxfId="1" priority="122" stopIfTrue="1" operator="equal">
      <formula>"F"</formula>
    </cfRule>
  </conditionalFormatting>
  <conditionalFormatting sqref="I291">
    <cfRule type="cellIs" dxfId="2" priority="123" stopIfTrue="1" operator="equal">
      <formula>"PE"</formula>
    </cfRule>
  </conditionalFormatting>
  <conditionalFormatting sqref="I288:I289">
    <cfRule type="cellIs" dxfId="0" priority="124" stopIfTrue="1" operator="equal">
      <formula>"P"</formula>
    </cfRule>
  </conditionalFormatting>
  <conditionalFormatting sqref="I288:I289">
    <cfRule type="cellIs" dxfId="1" priority="125" stopIfTrue="1" operator="equal">
      <formula>"F"</formula>
    </cfRule>
  </conditionalFormatting>
  <conditionalFormatting sqref="I288:I289">
    <cfRule type="cellIs" dxfId="2" priority="126" stopIfTrue="1" operator="equal">
      <formula>"PE"</formula>
    </cfRule>
  </conditionalFormatting>
  <conditionalFormatting sqref="I319">
    <cfRule type="cellIs" dxfId="0" priority="127" stopIfTrue="1" operator="equal">
      <formula>"P"</formula>
    </cfRule>
  </conditionalFormatting>
  <conditionalFormatting sqref="I319">
    <cfRule type="cellIs" dxfId="1" priority="128" stopIfTrue="1" operator="equal">
      <formula>"F"</formula>
    </cfRule>
  </conditionalFormatting>
  <conditionalFormatting sqref="I319">
    <cfRule type="cellIs" dxfId="2" priority="129" stopIfTrue="1" operator="equal">
      <formula>"PE"</formula>
    </cfRule>
  </conditionalFormatting>
  <conditionalFormatting sqref="I326 I339:I340">
    <cfRule type="cellIs" dxfId="0" priority="130" stopIfTrue="1" operator="equal">
      <formula>"P"</formula>
    </cfRule>
  </conditionalFormatting>
  <conditionalFormatting sqref="I326 I339:I340">
    <cfRule type="cellIs" dxfId="1" priority="131" stopIfTrue="1" operator="equal">
      <formula>"F"</formula>
    </cfRule>
  </conditionalFormatting>
  <conditionalFormatting sqref="I326 I339:I340">
    <cfRule type="cellIs" dxfId="2" priority="132" stopIfTrue="1" operator="equal">
      <formula>"PE"</formula>
    </cfRule>
  </conditionalFormatting>
  <conditionalFormatting sqref="I320:I325 I327:I338 I341">
    <cfRule type="cellIs" dxfId="0" priority="133" stopIfTrue="1" operator="equal">
      <formula>"P"</formula>
    </cfRule>
  </conditionalFormatting>
  <conditionalFormatting sqref="I320:I325 I327:I338 I341">
    <cfRule type="cellIs" dxfId="1" priority="134" stopIfTrue="1" operator="equal">
      <formula>"F"</formula>
    </cfRule>
  </conditionalFormatting>
  <conditionalFormatting sqref="I320:I325 I327:I338 I341">
    <cfRule type="cellIs" dxfId="2" priority="135" stopIfTrue="1" operator="equal">
      <formula>"PE"</formula>
    </cfRule>
  </conditionalFormatting>
  <conditionalFormatting sqref="I342">
    <cfRule type="cellIs" dxfId="0" priority="136" stopIfTrue="1" operator="equal">
      <formula>"P"</formula>
    </cfRule>
  </conditionalFormatting>
  <conditionalFormatting sqref="I342">
    <cfRule type="cellIs" dxfId="1" priority="137" stopIfTrue="1" operator="equal">
      <formula>"F"</formula>
    </cfRule>
  </conditionalFormatting>
  <conditionalFormatting sqref="I342">
    <cfRule type="cellIs" dxfId="2" priority="138" stopIfTrue="1" operator="equal">
      <formula>"PE"</formula>
    </cfRule>
  </conditionalFormatting>
  <conditionalFormatting sqref="I349">
    <cfRule type="cellIs" dxfId="0" priority="139" stopIfTrue="1" operator="equal">
      <formula>"P"</formula>
    </cfRule>
  </conditionalFormatting>
  <conditionalFormatting sqref="I349">
    <cfRule type="cellIs" dxfId="1" priority="140" stopIfTrue="1" operator="equal">
      <formula>"F"</formula>
    </cfRule>
  </conditionalFormatting>
  <conditionalFormatting sqref="I349">
    <cfRule type="cellIs" dxfId="2" priority="141" stopIfTrue="1" operator="equal">
      <formula>"PE"</formula>
    </cfRule>
  </conditionalFormatting>
  <conditionalFormatting sqref="I350:I351">
    <cfRule type="cellIs" dxfId="0" priority="142" stopIfTrue="1" operator="equal">
      <formula>"P"</formula>
    </cfRule>
  </conditionalFormatting>
  <conditionalFormatting sqref="I350:I351">
    <cfRule type="cellIs" dxfId="1" priority="143" stopIfTrue="1" operator="equal">
      <formula>"F"</formula>
    </cfRule>
  </conditionalFormatting>
  <conditionalFormatting sqref="I350:I351">
    <cfRule type="cellIs" dxfId="2" priority="144" stopIfTrue="1" operator="equal">
      <formula>"PE"</formula>
    </cfRule>
  </conditionalFormatting>
  <conditionalFormatting sqref="I352">
    <cfRule type="cellIs" dxfId="0" priority="145" stopIfTrue="1" operator="equal">
      <formula>"P"</formula>
    </cfRule>
  </conditionalFormatting>
  <conditionalFormatting sqref="I352">
    <cfRule type="cellIs" dxfId="1" priority="146" stopIfTrue="1" operator="equal">
      <formula>"F"</formula>
    </cfRule>
  </conditionalFormatting>
  <conditionalFormatting sqref="I352">
    <cfRule type="cellIs" dxfId="2" priority="147" stopIfTrue="1" operator="equal">
      <formula>"PE"</formula>
    </cfRule>
  </conditionalFormatting>
  <conditionalFormatting sqref="I354:I366">
    <cfRule type="cellIs" dxfId="0" priority="148" stopIfTrue="1" operator="equal">
      <formula>"P"</formula>
    </cfRule>
  </conditionalFormatting>
  <conditionalFormatting sqref="I354:I366">
    <cfRule type="cellIs" dxfId="1" priority="149" stopIfTrue="1" operator="equal">
      <formula>"F"</formula>
    </cfRule>
  </conditionalFormatting>
  <conditionalFormatting sqref="I354:I366">
    <cfRule type="cellIs" dxfId="2" priority="150" stopIfTrue="1" operator="equal">
      <formula>"PE"</formula>
    </cfRule>
  </conditionalFormatting>
  <conditionalFormatting sqref="I368">
    <cfRule type="cellIs" dxfId="0" priority="151" stopIfTrue="1" operator="equal">
      <formula>"P"</formula>
    </cfRule>
  </conditionalFormatting>
  <conditionalFormatting sqref="I368">
    <cfRule type="cellIs" dxfId="1" priority="152" stopIfTrue="1" operator="equal">
      <formula>"F"</formula>
    </cfRule>
  </conditionalFormatting>
  <conditionalFormatting sqref="I368">
    <cfRule type="cellIs" dxfId="2" priority="153" stopIfTrue="1" operator="equal">
      <formula>"PE"</formula>
    </cfRule>
  </conditionalFormatting>
  <conditionalFormatting sqref="I392:I400 I402:I408">
    <cfRule type="cellIs" dxfId="0" priority="154" stopIfTrue="1" operator="equal">
      <formula>"P"</formula>
    </cfRule>
  </conditionalFormatting>
  <conditionalFormatting sqref="I392:I400 I402:I408">
    <cfRule type="cellIs" dxfId="1" priority="155" stopIfTrue="1" operator="equal">
      <formula>"F"</formula>
    </cfRule>
  </conditionalFormatting>
  <conditionalFormatting sqref="I392:I400 I402:I408">
    <cfRule type="cellIs" dxfId="2" priority="156" stopIfTrue="1" operator="equal">
      <formula>"PE"</formula>
    </cfRule>
  </conditionalFormatting>
  <conditionalFormatting sqref="I391">
    <cfRule type="cellIs" dxfId="0" priority="157" stopIfTrue="1" operator="equal">
      <formula>"P"</formula>
    </cfRule>
  </conditionalFormatting>
  <conditionalFormatting sqref="I391">
    <cfRule type="cellIs" dxfId="1" priority="158" stopIfTrue="1" operator="equal">
      <formula>"F"</formula>
    </cfRule>
  </conditionalFormatting>
  <conditionalFormatting sqref="I391">
    <cfRule type="cellIs" dxfId="2" priority="159" stopIfTrue="1" operator="equal">
      <formula>"PE"</formula>
    </cfRule>
  </conditionalFormatting>
  <conditionalFormatting sqref="I386:I390">
    <cfRule type="cellIs" dxfId="0" priority="160" stopIfTrue="1" operator="equal">
      <formula>"P"</formula>
    </cfRule>
  </conditionalFormatting>
  <conditionalFormatting sqref="I386:I390">
    <cfRule type="cellIs" dxfId="1" priority="161" stopIfTrue="1" operator="equal">
      <formula>"F"</formula>
    </cfRule>
  </conditionalFormatting>
  <conditionalFormatting sqref="I386:I390">
    <cfRule type="cellIs" dxfId="2" priority="162" stopIfTrue="1" operator="equal">
      <formula>"PE"</formula>
    </cfRule>
  </conditionalFormatting>
  <conditionalFormatting sqref="I409:I413">
    <cfRule type="cellIs" dxfId="0" priority="163" stopIfTrue="1" operator="equal">
      <formula>"P"</formula>
    </cfRule>
  </conditionalFormatting>
  <conditionalFormatting sqref="I409:I413">
    <cfRule type="cellIs" dxfId="1" priority="164" stopIfTrue="1" operator="equal">
      <formula>"F"</formula>
    </cfRule>
  </conditionalFormatting>
  <conditionalFormatting sqref="I409:I413">
    <cfRule type="cellIs" dxfId="2" priority="165" stopIfTrue="1" operator="equal">
      <formula>"PE"</formula>
    </cfRule>
  </conditionalFormatting>
  <conditionalFormatting sqref="I416:I424 I426:I438">
    <cfRule type="cellIs" dxfId="0" priority="166" stopIfTrue="1" operator="equal">
      <formula>"P"</formula>
    </cfRule>
  </conditionalFormatting>
  <conditionalFormatting sqref="I416:I424 I426:I438">
    <cfRule type="cellIs" dxfId="1" priority="167" stopIfTrue="1" operator="equal">
      <formula>"F"</formula>
    </cfRule>
  </conditionalFormatting>
  <conditionalFormatting sqref="I416:I424 I426:I438">
    <cfRule type="cellIs" dxfId="2" priority="168" stopIfTrue="1" operator="equal">
      <formula>"PE"</formula>
    </cfRule>
  </conditionalFormatting>
  <conditionalFormatting sqref="I440">
    <cfRule type="cellIs" dxfId="0" priority="169" stopIfTrue="1" operator="equal">
      <formula>"P"</formula>
    </cfRule>
  </conditionalFormatting>
  <conditionalFormatting sqref="I440">
    <cfRule type="cellIs" dxfId="1" priority="170" stopIfTrue="1" operator="equal">
      <formula>"F"</formula>
    </cfRule>
  </conditionalFormatting>
  <conditionalFormatting sqref="I440">
    <cfRule type="cellIs" dxfId="2" priority="171" stopIfTrue="1" operator="equal">
      <formula>"PE"</formula>
    </cfRule>
  </conditionalFormatting>
  <conditionalFormatting sqref="I479:I483 I528">
    <cfRule type="cellIs" dxfId="0" priority="172" stopIfTrue="1" operator="equal">
      <formula>"P"</formula>
    </cfRule>
  </conditionalFormatting>
  <conditionalFormatting sqref="I479:I483 I528">
    <cfRule type="cellIs" dxfId="1" priority="173" stopIfTrue="1" operator="equal">
      <formula>"F"</formula>
    </cfRule>
  </conditionalFormatting>
  <conditionalFormatting sqref="I479:I483 I528">
    <cfRule type="cellIs" dxfId="2" priority="174" stopIfTrue="1" operator="equal">
      <formula>"PE"</formula>
    </cfRule>
  </conditionalFormatting>
  <conditionalFormatting sqref="I530">
    <cfRule type="cellIs" dxfId="0" priority="175" stopIfTrue="1" operator="equal">
      <formula>"P"</formula>
    </cfRule>
  </conditionalFormatting>
  <conditionalFormatting sqref="I530">
    <cfRule type="cellIs" dxfId="1" priority="176" stopIfTrue="1" operator="equal">
      <formula>"F"</formula>
    </cfRule>
  </conditionalFormatting>
  <conditionalFormatting sqref="I530">
    <cfRule type="cellIs" dxfId="2" priority="177" stopIfTrue="1" operator="equal">
      <formula>"PE"</formula>
    </cfRule>
  </conditionalFormatting>
  <conditionalFormatting sqref="I531:I537 I541:I542">
    <cfRule type="cellIs" dxfId="0" priority="178" stopIfTrue="1" operator="equal">
      <formula>"P"</formula>
    </cfRule>
  </conditionalFormatting>
  <conditionalFormatting sqref="I531:I537 I541:I542">
    <cfRule type="cellIs" dxfId="1" priority="179" stopIfTrue="1" operator="equal">
      <formula>"F"</formula>
    </cfRule>
  </conditionalFormatting>
  <conditionalFormatting sqref="I531:I537 I541:I542">
    <cfRule type="cellIs" dxfId="2" priority="180" stopIfTrue="1" operator="equal">
      <formula>"PE"</formula>
    </cfRule>
  </conditionalFormatting>
  <conditionalFormatting sqref="I544:I545 I548 I559">
    <cfRule type="cellIs" dxfId="0" priority="181" stopIfTrue="1" operator="equal">
      <formula>"P"</formula>
    </cfRule>
  </conditionalFormatting>
  <conditionalFormatting sqref="I544:I545 I548 I559">
    <cfRule type="cellIs" dxfId="1" priority="182" stopIfTrue="1" operator="equal">
      <formula>"F"</formula>
    </cfRule>
  </conditionalFormatting>
  <conditionalFormatting sqref="I544:I545 I548 I559">
    <cfRule type="cellIs" dxfId="2" priority="183" stopIfTrue="1" operator="equal">
      <formula>"PE"</formula>
    </cfRule>
  </conditionalFormatting>
  <conditionalFormatting sqref="I543 I558">
    <cfRule type="cellIs" dxfId="0" priority="184" stopIfTrue="1" operator="equal">
      <formula>"P"</formula>
    </cfRule>
  </conditionalFormatting>
  <conditionalFormatting sqref="I543 I558">
    <cfRule type="cellIs" dxfId="1" priority="185" stopIfTrue="1" operator="equal">
      <formula>"F"</formula>
    </cfRule>
  </conditionalFormatting>
  <conditionalFormatting sqref="I543 I558">
    <cfRule type="cellIs" dxfId="2" priority="186" stopIfTrue="1" operator="equal">
      <formula>"PE"</formula>
    </cfRule>
  </conditionalFormatting>
  <conditionalFormatting sqref="I415">
    <cfRule type="cellIs" dxfId="0" priority="187" stopIfTrue="1" operator="equal">
      <formula>"P"</formula>
    </cfRule>
  </conditionalFormatting>
  <conditionalFormatting sqref="I415">
    <cfRule type="cellIs" dxfId="1" priority="188" stopIfTrue="1" operator="equal">
      <formula>"F"</formula>
    </cfRule>
  </conditionalFormatting>
  <conditionalFormatting sqref="I415">
    <cfRule type="cellIs" dxfId="2" priority="189" stopIfTrue="1" operator="equal">
      <formula>"PE"</formula>
    </cfRule>
  </conditionalFormatting>
  <conditionalFormatting sqref="I401">
    <cfRule type="cellIs" dxfId="0" priority="190" stopIfTrue="1" operator="equal">
      <formula>"P"</formula>
    </cfRule>
  </conditionalFormatting>
  <conditionalFormatting sqref="I401">
    <cfRule type="cellIs" dxfId="1" priority="191" stopIfTrue="1" operator="equal">
      <formula>"F"</formula>
    </cfRule>
  </conditionalFormatting>
  <conditionalFormatting sqref="I401">
    <cfRule type="cellIs" dxfId="2" priority="192" stopIfTrue="1" operator="equal">
      <formula>"PE"</formula>
    </cfRule>
  </conditionalFormatting>
  <conditionalFormatting sqref="I207">
    <cfRule type="cellIs" dxfId="0" priority="193" stopIfTrue="1" operator="equal">
      <formula>"P"</formula>
    </cfRule>
  </conditionalFormatting>
  <conditionalFormatting sqref="I207">
    <cfRule type="cellIs" dxfId="1" priority="194" stopIfTrue="1" operator="equal">
      <formula>"F"</formula>
    </cfRule>
  </conditionalFormatting>
  <conditionalFormatting sqref="I207">
    <cfRule type="cellIs" dxfId="2" priority="195" stopIfTrue="1" operator="equal">
      <formula>"PE"</formula>
    </cfRule>
  </conditionalFormatting>
  <conditionalFormatting sqref="I214">
    <cfRule type="cellIs" dxfId="0" priority="196" stopIfTrue="1" operator="equal">
      <formula>"P"</formula>
    </cfRule>
  </conditionalFormatting>
  <conditionalFormatting sqref="I214">
    <cfRule type="cellIs" dxfId="1" priority="197" stopIfTrue="1" operator="equal">
      <formula>"F"</formula>
    </cfRule>
  </conditionalFormatting>
  <conditionalFormatting sqref="I214">
    <cfRule type="cellIs" dxfId="2" priority="198" stopIfTrue="1" operator="equal">
      <formula>"PE"</formula>
    </cfRule>
  </conditionalFormatting>
  <conditionalFormatting sqref="I425">
    <cfRule type="cellIs" dxfId="0" priority="199" stopIfTrue="1" operator="equal">
      <formula>"P"</formula>
    </cfRule>
  </conditionalFormatting>
  <conditionalFormatting sqref="I425">
    <cfRule type="cellIs" dxfId="1" priority="200" stopIfTrue="1" operator="equal">
      <formula>"F"</formula>
    </cfRule>
  </conditionalFormatting>
  <conditionalFormatting sqref="I425">
    <cfRule type="cellIs" dxfId="2" priority="201" stopIfTrue="1" operator="equal">
      <formula>"PE"</formula>
    </cfRule>
  </conditionalFormatting>
  <conditionalFormatting sqref="I462">
    <cfRule type="cellIs" dxfId="0" priority="202" stopIfTrue="1" operator="equal">
      <formula>"P"</formula>
    </cfRule>
  </conditionalFormatting>
  <conditionalFormatting sqref="I462">
    <cfRule type="cellIs" dxfId="1" priority="203" stopIfTrue="1" operator="equal">
      <formula>"F"</formula>
    </cfRule>
  </conditionalFormatting>
  <conditionalFormatting sqref="I462">
    <cfRule type="cellIs" dxfId="2" priority="204" stopIfTrue="1" operator="equal">
      <formula>"PE"</formula>
    </cfRule>
  </conditionalFormatting>
  <conditionalFormatting sqref="I463:I478">
    <cfRule type="cellIs" dxfId="0" priority="205" stopIfTrue="1" operator="equal">
      <formula>"P"</formula>
    </cfRule>
  </conditionalFormatting>
  <conditionalFormatting sqref="I463:I478">
    <cfRule type="cellIs" dxfId="1" priority="206" stopIfTrue="1" operator="equal">
      <formula>"F"</formula>
    </cfRule>
  </conditionalFormatting>
  <conditionalFormatting sqref="I463:I478">
    <cfRule type="cellIs" dxfId="2" priority="207" stopIfTrue="1" operator="equal">
      <formula>"PE"</formula>
    </cfRule>
  </conditionalFormatting>
  <conditionalFormatting sqref="I484">
    <cfRule type="cellIs" dxfId="0" priority="208" stopIfTrue="1" operator="equal">
      <formula>"P"</formula>
    </cfRule>
  </conditionalFormatting>
  <conditionalFormatting sqref="I484">
    <cfRule type="cellIs" dxfId="1" priority="209" stopIfTrue="1" operator="equal">
      <formula>"F"</formula>
    </cfRule>
  </conditionalFormatting>
  <conditionalFormatting sqref="I484">
    <cfRule type="cellIs" dxfId="2" priority="210" stopIfTrue="1" operator="equal">
      <formula>"PE"</formula>
    </cfRule>
  </conditionalFormatting>
  <conditionalFormatting sqref="I498:I502">
    <cfRule type="cellIs" dxfId="0" priority="211" stopIfTrue="1" operator="equal">
      <formula>"P"</formula>
    </cfRule>
  </conditionalFormatting>
  <conditionalFormatting sqref="I498:I502">
    <cfRule type="cellIs" dxfId="1" priority="212" stopIfTrue="1" operator="equal">
      <formula>"F"</formula>
    </cfRule>
  </conditionalFormatting>
  <conditionalFormatting sqref="I498:I502">
    <cfRule type="cellIs" dxfId="2" priority="213" stopIfTrue="1" operator="equal">
      <formula>"PE"</formula>
    </cfRule>
  </conditionalFormatting>
  <conditionalFormatting sqref="I485">
    <cfRule type="cellIs" dxfId="0" priority="214" stopIfTrue="1" operator="equal">
      <formula>"P"</formula>
    </cfRule>
  </conditionalFormatting>
  <conditionalFormatting sqref="I485">
    <cfRule type="cellIs" dxfId="1" priority="215" stopIfTrue="1" operator="equal">
      <formula>"F"</formula>
    </cfRule>
  </conditionalFormatting>
  <conditionalFormatting sqref="I485">
    <cfRule type="cellIs" dxfId="2" priority="216" stopIfTrue="1" operator="equal">
      <formula>"PE"</formula>
    </cfRule>
  </conditionalFormatting>
  <conditionalFormatting sqref="I503">
    <cfRule type="cellIs" dxfId="0" priority="217" stopIfTrue="1" operator="equal">
      <formula>"P"</formula>
    </cfRule>
  </conditionalFormatting>
  <conditionalFormatting sqref="I503">
    <cfRule type="cellIs" dxfId="1" priority="218" stopIfTrue="1" operator="equal">
      <formula>"F"</formula>
    </cfRule>
  </conditionalFormatting>
  <conditionalFormatting sqref="I503">
    <cfRule type="cellIs" dxfId="2" priority="219" stopIfTrue="1" operator="equal">
      <formula>"PE"</formula>
    </cfRule>
  </conditionalFormatting>
  <conditionalFormatting sqref="I492:I493">
    <cfRule type="cellIs" dxfId="0" priority="220" stopIfTrue="1" operator="equal">
      <formula>"P"</formula>
    </cfRule>
  </conditionalFormatting>
  <conditionalFormatting sqref="I492:I493">
    <cfRule type="cellIs" dxfId="1" priority="221" stopIfTrue="1" operator="equal">
      <formula>"F"</formula>
    </cfRule>
  </conditionalFormatting>
  <conditionalFormatting sqref="I492:I493">
    <cfRule type="cellIs" dxfId="2" priority="222" stopIfTrue="1" operator="equal">
      <formula>"PE"</formula>
    </cfRule>
  </conditionalFormatting>
  <conditionalFormatting sqref="I505:I510 I513:I514 I517:I518">
    <cfRule type="cellIs" dxfId="0" priority="223" stopIfTrue="1" operator="equal">
      <formula>"P"</formula>
    </cfRule>
  </conditionalFormatting>
  <conditionalFormatting sqref="I505:I510 I513:I514 I517:I518">
    <cfRule type="cellIs" dxfId="1" priority="224" stopIfTrue="1" operator="equal">
      <formula>"F"</formula>
    </cfRule>
  </conditionalFormatting>
  <conditionalFormatting sqref="I505:I510 I513:I514 I517:I518">
    <cfRule type="cellIs" dxfId="2" priority="225" stopIfTrue="1" operator="equal">
      <formula>"PE"</formula>
    </cfRule>
  </conditionalFormatting>
  <conditionalFormatting sqref="I519:I525">
    <cfRule type="cellIs" dxfId="0" priority="226" stopIfTrue="1" operator="equal">
      <formula>"P"</formula>
    </cfRule>
  </conditionalFormatting>
  <conditionalFormatting sqref="I519:I525">
    <cfRule type="cellIs" dxfId="1" priority="227" stopIfTrue="1" operator="equal">
      <formula>"F"</formula>
    </cfRule>
  </conditionalFormatting>
  <conditionalFormatting sqref="I519:I525">
    <cfRule type="cellIs" dxfId="2" priority="228" stopIfTrue="1" operator="equal">
      <formula>"PE"</formula>
    </cfRule>
  </conditionalFormatting>
  <conditionalFormatting sqref="I504">
    <cfRule type="cellIs" dxfId="0" priority="229" stopIfTrue="1" operator="equal">
      <formula>"P"</formula>
    </cfRule>
  </conditionalFormatting>
  <conditionalFormatting sqref="I504">
    <cfRule type="cellIs" dxfId="1" priority="230" stopIfTrue="1" operator="equal">
      <formula>"F"</formula>
    </cfRule>
  </conditionalFormatting>
  <conditionalFormatting sqref="I504">
    <cfRule type="cellIs" dxfId="2" priority="231" stopIfTrue="1" operator="equal">
      <formula>"PE"</formula>
    </cfRule>
  </conditionalFormatting>
  <conditionalFormatting sqref="I511:I512">
    <cfRule type="cellIs" dxfId="0" priority="232" stopIfTrue="1" operator="equal">
      <formula>"P"</formula>
    </cfRule>
  </conditionalFormatting>
  <conditionalFormatting sqref="I511:I512">
    <cfRule type="cellIs" dxfId="1" priority="233" stopIfTrue="1" operator="equal">
      <formula>"F"</formula>
    </cfRule>
  </conditionalFormatting>
  <conditionalFormatting sqref="I511:I512">
    <cfRule type="cellIs" dxfId="2" priority="234" stopIfTrue="1" operator="equal">
      <formula>"PE"</formula>
    </cfRule>
  </conditionalFormatting>
  <conditionalFormatting sqref="I515:I516">
    <cfRule type="cellIs" dxfId="0" priority="235" stopIfTrue="1" operator="equal">
      <formula>"P"</formula>
    </cfRule>
  </conditionalFormatting>
  <conditionalFormatting sqref="I515:I516">
    <cfRule type="cellIs" dxfId="1" priority="236" stopIfTrue="1" operator="equal">
      <formula>"F"</formula>
    </cfRule>
  </conditionalFormatting>
  <conditionalFormatting sqref="I515:I516">
    <cfRule type="cellIs" dxfId="2" priority="237" stopIfTrue="1" operator="equal">
      <formula>"PE"</formula>
    </cfRule>
  </conditionalFormatting>
  <conditionalFormatting sqref="I527">
    <cfRule type="cellIs" dxfId="0" priority="238" stopIfTrue="1" operator="equal">
      <formula>"P"</formula>
    </cfRule>
  </conditionalFormatting>
  <conditionalFormatting sqref="I527">
    <cfRule type="cellIs" dxfId="1" priority="239" stopIfTrue="1" operator="equal">
      <formula>"F"</formula>
    </cfRule>
  </conditionalFormatting>
  <conditionalFormatting sqref="I527">
    <cfRule type="cellIs" dxfId="2" priority="240" stopIfTrue="1" operator="equal">
      <formula>"PE"</formula>
    </cfRule>
  </conditionalFormatting>
  <conditionalFormatting sqref="I526">
    <cfRule type="cellIs" dxfId="0" priority="241" stopIfTrue="1" operator="equal">
      <formula>"P"</formula>
    </cfRule>
  </conditionalFormatting>
  <conditionalFormatting sqref="I526">
    <cfRule type="cellIs" dxfId="1" priority="242" stopIfTrue="1" operator="equal">
      <formula>"F"</formula>
    </cfRule>
  </conditionalFormatting>
  <conditionalFormatting sqref="I526">
    <cfRule type="cellIs" dxfId="2" priority="243" stopIfTrue="1" operator="equal">
      <formula>"PE"</formula>
    </cfRule>
  </conditionalFormatting>
  <conditionalFormatting sqref="I552">
    <cfRule type="cellIs" dxfId="0" priority="244" stopIfTrue="1" operator="equal">
      <formula>"P"</formula>
    </cfRule>
  </conditionalFormatting>
  <conditionalFormatting sqref="I552">
    <cfRule type="cellIs" dxfId="1" priority="245" stopIfTrue="1" operator="equal">
      <formula>"F"</formula>
    </cfRule>
  </conditionalFormatting>
  <conditionalFormatting sqref="I552">
    <cfRule type="cellIs" dxfId="2" priority="246" stopIfTrue="1" operator="equal">
      <formula>"PE"</formula>
    </cfRule>
  </conditionalFormatting>
  <conditionalFormatting sqref="I538">
    <cfRule type="cellIs" dxfId="0" priority="247" stopIfTrue="1" operator="equal">
      <formula>"P"</formula>
    </cfRule>
  </conditionalFormatting>
  <conditionalFormatting sqref="I538">
    <cfRule type="cellIs" dxfId="1" priority="248" stopIfTrue="1" operator="equal">
      <formula>"F"</formula>
    </cfRule>
  </conditionalFormatting>
  <conditionalFormatting sqref="I538">
    <cfRule type="cellIs" dxfId="2" priority="249" stopIfTrue="1" operator="equal">
      <formula>"PE"</formula>
    </cfRule>
  </conditionalFormatting>
  <conditionalFormatting sqref="I539:I540">
    <cfRule type="cellIs" dxfId="0" priority="250" stopIfTrue="1" operator="equal">
      <formula>"P"</formula>
    </cfRule>
  </conditionalFormatting>
  <conditionalFormatting sqref="I539:I540">
    <cfRule type="cellIs" dxfId="1" priority="251" stopIfTrue="1" operator="equal">
      <formula>"F"</formula>
    </cfRule>
  </conditionalFormatting>
  <conditionalFormatting sqref="I539:I540">
    <cfRule type="cellIs" dxfId="2" priority="252" stopIfTrue="1" operator="equal">
      <formula>"PE"</formula>
    </cfRule>
  </conditionalFormatting>
  <conditionalFormatting sqref="I546:I547">
    <cfRule type="cellIs" dxfId="0" priority="253" stopIfTrue="1" operator="equal">
      <formula>"P"</formula>
    </cfRule>
  </conditionalFormatting>
  <conditionalFormatting sqref="I546:I547">
    <cfRule type="cellIs" dxfId="1" priority="254" stopIfTrue="1" operator="equal">
      <formula>"F"</formula>
    </cfRule>
  </conditionalFormatting>
  <conditionalFormatting sqref="I546:I547">
    <cfRule type="cellIs" dxfId="2" priority="255" stopIfTrue="1" operator="equal">
      <formula>"PE"</formula>
    </cfRule>
  </conditionalFormatting>
  <conditionalFormatting sqref="I549">
    <cfRule type="cellIs" dxfId="0" priority="256" stopIfTrue="1" operator="equal">
      <formula>"P"</formula>
    </cfRule>
  </conditionalFormatting>
  <conditionalFormatting sqref="I549">
    <cfRule type="cellIs" dxfId="1" priority="257" stopIfTrue="1" operator="equal">
      <formula>"F"</formula>
    </cfRule>
  </conditionalFormatting>
  <conditionalFormatting sqref="I549">
    <cfRule type="cellIs" dxfId="2" priority="258" stopIfTrue="1" operator="equal">
      <formula>"PE"</formula>
    </cfRule>
  </conditionalFormatting>
  <conditionalFormatting sqref="I551">
    <cfRule type="cellIs" dxfId="0" priority="259" stopIfTrue="1" operator="equal">
      <formula>"P"</formula>
    </cfRule>
  </conditionalFormatting>
  <conditionalFormatting sqref="I551">
    <cfRule type="cellIs" dxfId="1" priority="260" stopIfTrue="1" operator="equal">
      <formula>"F"</formula>
    </cfRule>
  </conditionalFormatting>
  <conditionalFormatting sqref="I551">
    <cfRule type="cellIs" dxfId="2" priority="261" stopIfTrue="1" operator="equal">
      <formula>"PE"</formula>
    </cfRule>
  </conditionalFormatting>
  <conditionalFormatting sqref="I550">
    <cfRule type="cellIs" dxfId="0" priority="262" stopIfTrue="1" operator="equal">
      <formula>"P"</formula>
    </cfRule>
  </conditionalFormatting>
  <conditionalFormatting sqref="I550">
    <cfRule type="cellIs" dxfId="1" priority="263" stopIfTrue="1" operator="equal">
      <formula>"F"</formula>
    </cfRule>
  </conditionalFormatting>
  <conditionalFormatting sqref="I550">
    <cfRule type="cellIs" dxfId="2" priority="264" stopIfTrue="1" operator="equal">
      <formula>"PE"</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0"/>
  <cols>
    <col customWidth="1" min="1" max="26" width="8.71"/>
  </cols>
  <sheetData/>
  <drawing r:id="rId1"/>
</worksheet>
</file>